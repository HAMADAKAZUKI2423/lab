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maKazu\Desktop\GradSchool\lab\results\tables\pre-experiment-gabor\fg_calibration_log\"/>
    </mc:Choice>
  </mc:AlternateContent>
  <xr:revisionPtr revIDLastSave="0" documentId="13_ncr:1_{822D35DE-8752-4B4D-87F2-9D4F57B0E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H8" i="1"/>
  <c r="I8" i="1"/>
  <c r="J8" i="1"/>
  <c r="K8" i="1"/>
  <c r="L8" i="1"/>
  <c r="B8" i="1"/>
  <c r="C7" i="1"/>
  <c r="D7" i="1"/>
  <c r="E7" i="1"/>
  <c r="F7" i="1"/>
  <c r="G7" i="1"/>
  <c r="H7" i="1"/>
  <c r="I7" i="1"/>
  <c r="J7" i="1"/>
  <c r="K7" i="1"/>
  <c r="L7" i="1"/>
  <c r="B7" i="1"/>
</calcChain>
</file>

<file path=xl/sharedStrings.xml><?xml version="1.0" encoding="utf-8"?>
<sst xmlns="http://schemas.openxmlformats.org/spreadsheetml/2006/main" count="4" uniqueCount="4">
  <si>
    <t>Target_Luminance(cd/m2)</t>
    <phoneticPr fontId="1"/>
  </si>
  <si>
    <t>Date</t>
    <phoneticPr fontId="1"/>
  </si>
  <si>
    <t>mean</t>
    <phoneticPr fontId="1"/>
  </si>
  <si>
    <t>std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</si>
</sst>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showGridLines="0" tabSelected="1" workbookViewId="0">
      <selection sqref="A1:L8"/>
    </sheetView>
  </sheetViews>
  <sheetFormatPr defaultRowHeight="18"/>
  <cols>
    <col min="1" max="1" width="16.3984375" customWidth="1"/>
  </cols>
  <sheetData>
    <row r="1" spans="1:12">
      <c r="A1" s="7" t="s">
        <v>1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8"/>
      <c r="B2" s="1">
        <v>100</v>
      </c>
      <c r="C2" s="1">
        <v>90</v>
      </c>
      <c r="D2" s="1">
        <v>80</v>
      </c>
      <c r="E2" s="1">
        <v>70</v>
      </c>
      <c r="F2" s="1">
        <v>60</v>
      </c>
      <c r="G2" s="1">
        <v>50</v>
      </c>
      <c r="H2" s="1">
        <v>40</v>
      </c>
      <c r="I2" s="1">
        <v>30</v>
      </c>
      <c r="J2" s="1">
        <v>20</v>
      </c>
      <c r="K2" s="1">
        <v>10</v>
      </c>
      <c r="L2" s="1">
        <v>0</v>
      </c>
    </row>
    <row r="3" spans="1:12">
      <c r="A3" s="3">
        <v>46077</v>
      </c>
      <c r="B3" s="2">
        <v>255</v>
      </c>
      <c r="C3" s="2">
        <v>244</v>
      </c>
      <c r="D3" s="2">
        <v>232</v>
      </c>
      <c r="E3" s="2">
        <v>217</v>
      </c>
      <c r="F3" s="2">
        <v>204</v>
      </c>
      <c r="G3" s="2">
        <v>188</v>
      </c>
      <c r="H3" s="2">
        <v>170</v>
      </c>
      <c r="I3" s="2">
        <v>148</v>
      </c>
      <c r="J3" s="2">
        <v>125</v>
      </c>
      <c r="K3" s="2">
        <v>90</v>
      </c>
      <c r="L3" s="2">
        <v>0</v>
      </c>
    </row>
    <row r="4" spans="1:12">
      <c r="A4" s="5">
        <v>46082</v>
      </c>
      <c r="B4" s="6">
        <v>255</v>
      </c>
      <c r="C4" s="6">
        <v>243</v>
      </c>
      <c r="D4" s="6">
        <v>232</v>
      </c>
      <c r="E4" s="6">
        <v>217</v>
      </c>
      <c r="F4" s="6">
        <v>204</v>
      </c>
      <c r="G4" s="6">
        <v>186</v>
      </c>
      <c r="H4" s="6">
        <v>168</v>
      </c>
      <c r="I4" s="6">
        <v>150</v>
      </c>
      <c r="J4" s="6">
        <v>120</v>
      </c>
      <c r="K4" s="6">
        <v>90</v>
      </c>
      <c r="L4" s="6">
        <v>0</v>
      </c>
    </row>
    <row r="5" spans="1:12">
      <c r="A5" s="5">
        <v>46084</v>
      </c>
      <c r="B5" s="6">
        <v>255</v>
      </c>
      <c r="C5" s="6">
        <v>244</v>
      </c>
      <c r="D5" s="6">
        <v>233</v>
      </c>
      <c r="E5" s="6">
        <v>218</v>
      </c>
      <c r="F5" s="6">
        <v>204</v>
      </c>
      <c r="G5" s="6">
        <v>188</v>
      </c>
      <c r="H5" s="6">
        <v>170</v>
      </c>
      <c r="I5" s="6">
        <v>150</v>
      </c>
      <c r="J5" s="6">
        <v>125</v>
      </c>
      <c r="K5" s="6">
        <v>90</v>
      </c>
      <c r="L5" s="6">
        <v>0</v>
      </c>
    </row>
    <row r="6" spans="1:12">
      <c r="A6" s="4">
        <v>46093</v>
      </c>
      <c r="B6" s="1">
        <v>254</v>
      </c>
      <c r="C6" s="1">
        <v>243</v>
      </c>
      <c r="D6" s="1">
        <v>232</v>
      </c>
      <c r="E6" s="1">
        <v>217</v>
      </c>
      <c r="F6" s="1">
        <v>202</v>
      </c>
      <c r="G6" s="1">
        <v>186</v>
      </c>
      <c r="H6" s="1">
        <v>168</v>
      </c>
      <c r="I6" s="1">
        <v>148</v>
      </c>
      <c r="J6" s="1">
        <v>123</v>
      </c>
      <c r="K6" s="1">
        <v>90</v>
      </c>
      <c r="L6" s="1">
        <v>0</v>
      </c>
    </row>
    <row r="7" spans="1:12">
      <c r="A7" s="6" t="s">
        <v>2</v>
      </c>
      <c r="B7" s="10">
        <f>AVERAGE(B3:B6)</f>
        <v>254.75</v>
      </c>
      <c r="C7" s="10">
        <f t="shared" ref="C7:L7" si="0">AVERAGE(C3:C6)</f>
        <v>243.5</v>
      </c>
      <c r="D7" s="10">
        <f t="shared" si="0"/>
        <v>232.25</v>
      </c>
      <c r="E7" s="10">
        <f t="shared" si="0"/>
        <v>217.25</v>
      </c>
      <c r="F7" s="10">
        <f t="shared" si="0"/>
        <v>203.5</v>
      </c>
      <c r="G7" s="10">
        <f t="shared" si="0"/>
        <v>187</v>
      </c>
      <c r="H7" s="10">
        <f t="shared" si="0"/>
        <v>169</v>
      </c>
      <c r="I7" s="10">
        <f t="shared" si="0"/>
        <v>149</v>
      </c>
      <c r="J7" s="10">
        <f t="shared" si="0"/>
        <v>123.25</v>
      </c>
      <c r="K7" s="10">
        <f t="shared" si="0"/>
        <v>90</v>
      </c>
      <c r="L7" s="10">
        <f t="shared" si="0"/>
        <v>0</v>
      </c>
    </row>
    <row r="8" spans="1:12">
      <c r="A8" s="1" t="s">
        <v>3</v>
      </c>
      <c r="B8" s="11">
        <f>_xlfn.STDEV.S(B3:B6)</f>
        <v>0.5</v>
      </c>
      <c r="C8" s="11">
        <f t="shared" ref="C8:L8" si="1">_xlfn.STDEV.S(C3:C6)</f>
        <v>0.57735026918962573</v>
      </c>
      <c r="D8" s="11">
        <f t="shared" si="1"/>
        <v>0.5</v>
      </c>
      <c r="E8" s="11">
        <f t="shared" si="1"/>
        <v>0.5</v>
      </c>
      <c r="F8" s="11">
        <f t="shared" si="1"/>
        <v>1</v>
      </c>
      <c r="G8" s="11">
        <f t="shared" si="1"/>
        <v>1.1547005383792515</v>
      </c>
      <c r="H8" s="11">
        <f t="shared" si="1"/>
        <v>1.1547005383792515</v>
      </c>
      <c r="I8" s="11">
        <f t="shared" si="1"/>
        <v>1.1547005383792515</v>
      </c>
      <c r="J8" s="11">
        <f t="shared" si="1"/>
        <v>2.3629078131263039</v>
      </c>
      <c r="K8" s="11">
        <f t="shared" si="1"/>
        <v>0</v>
      </c>
      <c r="L8" s="11">
        <f t="shared" si="1"/>
        <v>0</v>
      </c>
    </row>
  </sheetData>
  <mergeCells count="2">
    <mergeCell ref="A1:A2"/>
    <mergeCell ref="B1:L1"/>
  </mergeCells>
  <phoneticPr fontId="1"/>
  <pageMargins left="0.7" right="0.7" top="0.75" bottom="0.75" header="0.3" footer="0.3"/>
  <ignoredErrors>
    <ignoredError sqref="B7:L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HamaKazu</dc:creator>
  <cp:lastModifiedBy>濵田　和希</cp:lastModifiedBy>
  <dcterms:created xsi:type="dcterms:W3CDTF">2015-06-05T18:19:34Z</dcterms:created>
  <dcterms:modified xsi:type="dcterms:W3CDTF">2026-03-16T07:00:38Z</dcterms:modified>
</cp:coreProperties>
</file>