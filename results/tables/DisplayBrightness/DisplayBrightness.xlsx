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1_{E7F4A0DB-744D-4C1E-A76C-57338B00827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G_RGB_Trance" sheetId="8" r:id="rId1"/>
    <sheet name="ColorLumi" sheetId="10" r:id="rId2"/>
    <sheet name="FG補正OFF" sheetId="6" r:id="rId3"/>
    <sheet name="FGDisplay" sheetId="2" r:id="rId4"/>
    <sheet name="画素値固定" sheetId="9" r:id="rId5"/>
    <sheet name="BG_RGB_Trance" sheetId="7" r:id="rId6"/>
    <sheet name="BGDisplay" sheetId="1" r:id="rId7"/>
    <sheet name="FGLUMI" sheetId="5" r:id="rId8"/>
    <sheet name="BGLUMI" sheetId="3" r:id="rId9"/>
    <sheet name="BG補正OFF" sheetId="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10" l="1"/>
  <c r="L17" i="10"/>
  <c r="J17" i="10"/>
  <c r="I17" i="10"/>
  <c r="H17" i="10"/>
  <c r="F17" i="10"/>
  <c r="E17" i="10"/>
  <c r="D17" i="10"/>
  <c r="B17" i="10"/>
  <c r="M16" i="10"/>
  <c r="L16" i="10"/>
  <c r="J16" i="10"/>
  <c r="I16" i="10"/>
  <c r="H16" i="10"/>
  <c r="F16" i="10"/>
  <c r="E16" i="10"/>
  <c r="D16" i="10"/>
  <c r="C16" i="10"/>
  <c r="B16" i="10"/>
  <c r="C17" i="10"/>
  <c r="K17" i="10"/>
  <c r="C7" i="10"/>
  <c r="D7" i="10"/>
  <c r="E7" i="10"/>
  <c r="F7" i="10"/>
  <c r="G7" i="10"/>
  <c r="H7" i="10"/>
  <c r="I7" i="10"/>
  <c r="J7" i="10"/>
  <c r="K7" i="10"/>
  <c r="L7" i="10"/>
  <c r="M7" i="10"/>
  <c r="B7" i="10"/>
  <c r="C8" i="10"/>
  <c r="G8" i="10"/>
  <c r="D8" i="10"/>
  <c r="E8" i="10"/>
  <c r="F8" i="10"/>
  <c r="H8" i="10"/>
  <c r="I8" i="10"/>
  <c r="J8" i="10"/>
  <c r="K8" i="10"/>
  <c r="L8" i="10"/>
  <c r="M8" i="10"/>
  <c r="B8" i="10"/>
  <c r="U9" i="8"/>
  <c r="V9" i="8"/>
  <c r="W9" i="8"/>
  <c r="U10" i="8"/>
  <c r="V10" i="8"/>
  <c r="W10" i="8"/>
  <c r="V8" i="8"/>
  <c r="W8" i="8"/>
  <c r="U8" i="8"/>
  <c r="U9" i="7"/>
  <c r="V9" i="7"/>
  <c r="W9" i="7"/>
  <c r="U10" i="7"/>
  <c r="V10" i="7"/>
  <c r="W10" i="7"/>
  <c r="V8" i="7"/>
  <c r="W8" i="7"/>
  <c r="U8" i="7"/>
  <c r="C18" i="9"/>
  <c r="D18" i="9"/>
  <c r="E18" i="9"/>
  <c r="F18" i="9"/>
  <c r="G18" i="9"/>
  <c r="H18" i="9"/>
  <c r="I18" i="9"/>
  <c r="J18" i="9"/>
  <c r="K18" i="9"/>
  <c r="L18" i="9"/>
  <c r="C19" i="9"/>
  <c r="D19" i="9"/>
  <c r="E19" i="9"/>
  <c r="F19" i="9"/>
  <c r="G19" i="9"/>
  <c r="H19" i="9"/>
  <c r="I19" i="9"/>
  <c r="J19" i="9"/>
  <c r="K19" i="9"/>
  <c r="L19" i="9"/>
  <c r="B19" i="9"/>
  <c r="B18" i="9"/>
  <c r="C8" i="9"/>
  <c r="D8" i="9"/>
  <c r="E8" i="9"/>
  <c r="F8" i="9"/>
  <c r="G8" i="9"/>
  <c r="H8" i="9"/>
  <c r="C9" i="9"/>
  <c r="D9" i="9"/>
  <c r="E9" i="9"/>
  <c r="F9" i="9"/>
  <c r="G9" i="9"/>
  <c r="H9" i="9"/>
  <c r="B9" i="9"/>
  <c r="B8" i="9"/>
  <c r="P27" i="8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G16" i="10" l="1"/>
  <c r="K16" i="10"/>
  <c r="G17" i="10"/>
  <c r="O28" i="8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<sst xmlns="http://schemas.openxmlformats.org/spreadsheetml/2006/main" count="345" uniqueCount="142">
  <si>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</si>
  <si>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</si>
  <si>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</si>
  <si>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</si>
  <si>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</si>
  <si>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</si>
  <si>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</si>
  <si>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</si>
  <si>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</si>
  <si>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</si>
  <si>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</si>
  <si>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</si>
  <si>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</si>
  <si>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</si>
  <si>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</si>
  <si>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</si>
  <si>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</si>
  <si>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</si>
  <si>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</si>
  <si>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</si>
  <si>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</si>
  <si>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</si>
  <si>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</si>
  <si>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</si>
  <si>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</si>
  <si>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</si>
  <si>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</si>
  <si>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</si>
  <si>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</si>
  <si>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</si>
  <si>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</si>
  <si>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</si>
  <si>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</si>
  <si>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</si>
  <si>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</si>
  <si>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</si>
  <si>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</si>
  <si>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</si>
  <si>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</si>
  <si>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</si>
  <si>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</si>
  <si>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</si>
  <si>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</si>
  <si>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</si>
  <si>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</si>
  <si>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</si>
  <si>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</si>
  <si>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</si>
  <si>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</si>
  <si>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</si>
  <si>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</si>
  <si>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</si>
  <si>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</si>
  <si>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</si>
  <si>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</si>
  <si>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</si>
  <si>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</si>
  <si>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</si>
  <si>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</si>
  <si>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</si>
  <si>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</si>
  <si>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</si>
  <si>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</si>
  <si>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</si>
  <si>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</si>
  <si>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</si>
  <si>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</si>
  <si>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</si>
  <si>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</si>
  <si>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</si>
  <si>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</si>
  <si>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</si>
  <si>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</si>
  <si>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</si>
  <si>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</si>
  <si>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</si>
  <si>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</si>
  <si>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</si>
  <si>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</si>
  <si>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</si>
  <si>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</si>
  <si>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</si>
  <si>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</si>
  <si>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</si>
  <si>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</si>
  <si>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</si>
  <si>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</si>
  <si>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</si>
  <si>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</si>
  <si>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</si>
  <si>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</si>
  <si>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</si>
  <si>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</si>
  <si>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</si>
  <si>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</si>
  <si>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</si>
  <si>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</si>
  <si>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</si>
  <si>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</si>
  <si>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</si>
  <si>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</si>
  <si>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</si>
  <si>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</si>
  <si>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</si>
  <si>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</si>
  <si>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</si>
  <si>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</si>
  <si>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</si>
  <si>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</si>
  <si>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</si>
  <si>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</si>
  <si>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</si>
  <si>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</si>
  <si>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</si>
  <si>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</si>
  <si>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</si>
  <si>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</si>
  <si>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</si>
  <si>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</si>
  <si>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</si>
  <si>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</si>
  <si>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</si>
  <si>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</si>
  <si>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</si>
  <si>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</si>
  <si>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</si>
  <si>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</si>
  <si>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</si>
  <si>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</si>
  <si>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</si>
  <si>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</si>
  <si>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</si>
  <si>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</si>
  <si>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</si>
  <si>
    <t>std</t>
    <phoneticPr fontId="1"/>
  </si>
  <si>
    <t>Y_L</t>
    <phoneticPr fontId="1"/>
  </si>
  <si>
    <t>x</t>
    <phoneticPr fontId="1"/>
  </si>
  <si>
    <t>y</t>
    <phoneticPr fontId="1"/>
  </si>
  <si>
    <t>BG_T</t>
    <phoneticPr fontId="1"/>
  </si>
  <si>
    <t>FG_R</t>
    <phoneticPr fontId="1"/>
  </si>
  <si>
    <t>Black</t>
    <phoneticPr fontId="1"/>
  </si>
  <si>
    <t>Y_L-BL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</si>
</sst>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1F1F1F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1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W31"/>
  <sheetViews>
    <sheetView topLeftCell="R6" zoomScale="322" workbookViewId="0">
      <selection activeCell="U8" sqref="U8:W10"/>
    </sheetView>
  </sheetViews>
  <sheetFormatPr defaultRowHeight="18"/>
  <sheetData>
    <row r="1" spans="1:23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23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  <c r="U2" s="24">
        <v>0.91309865000000001</v>
      </c>
      <c r="V2">
        <v>2.0288560000000001E-2</v>
      </c>
      <c r="W2">
        <v>2.9556829999999999E-2</v>
      </c>
    </row>
    <row r="3" spans="1:23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  <c r="U3" s="24">
        <v>5.7805429999999998E-2</v>
      </c>
      <c r="V3">
        <v>0.84687323000000003</v>
      </c>
      <c r="W3">
        <v>0.14995979000000001</v>
      </c>
    </row>
    <row r="4" spans="1:23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  <c r="U4" s="24">
        <v>2.1246899999999998E-3</v>
      </c>
      <c r="V4">
        <v>2.732089E-2</v>
      </c>
      <c r="W4">
        <v>0.73791041000000002</v>
      </c>
    </row>
    <row r="5" spans="1:23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  <c r="U5" s="24">
        <v>0.25015828000000001</v>
      </c>
      <c r="V5">
        <v>8.0231899999999995E-3</v>
      </c>
      <c r="W5">
        <v>3.3465399999999998E-3</v>
      </c>
    </row>
    <row r="6" spans="1:23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  <c r="U6" s="24">
        <v>1.680738E-2</v>
      </c>
      <c r="V6">
        <v>0.21223075999999999</v>
      </c>
      <c r="W6">
        <v>3.9546240000000003E-2</v>
      </c>
    </row>
    <row r="7" spans="1:23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  <c r="U7" s="24">
        <v>2.1246899999999998E-3</v>
      </c>
      <c r="V7">
        <v>9.1340599999999994E-3</v>
      </c>
      <c r="W7">
        <v>0.15896083999999999</v>
      </c>
    </row>
    <row r="8" spans="1:23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  <c r="U8">
        <f>U5/U2</f>
        <v>0.27396632335399906</v>
      </c>
      <c r="V8">
        <f t="shared" ref="V8:W8" si="6">V5/V2</f>
        <v>0.39545389125694475</v>
      </c>
      <c r="W8">
        <f t="shared" si="6"/>
        <v>0.11322391474322517</v>
      </c>
    </row>
    <row r="9" spans="1:23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  <c r="U9">
        <f t="shared" ref="U9:W9" si="7">U6/U3</f>
        <v>0.29075780597082318</v>
      </c>
      <c r="V9">
        <f t="shared" si="7"/>
        <v>0.25060511122780438</v>
      </c>
      <c r="W9">
        <f t="shared" si="7"/>
        <v>0.26371229247520284</v>
      </c>
    </row>
    <row r="10" spans="1:23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  <c r="U10">
        <f t="shared" ref="U10:W10" si="8">U7/U4</f>
        <v>1</v>
      </c>
      <c r="V10">
        <f t="shared" si="8"/>
        <v>0.33432512630445055</v>
      </c>
      <c r="W10">
        <f t="shared" si="8"/>
        <v>0.21542024322437731</v>
      </c>
    </row>
    <row r="11" spans="1:23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23">
      <c r="A12" t="s">
        <v>86</v>
      </c>
      <c r="N12">
        <f t="shared" ref="N12:S12" si="9">AVERAGE(N2:N11)</f>
        <v>2.2000000000000002</v>
      </c>
      <c r="O12">
        <f t="shared" si="9"/>
        <v>0.8</v>
      </c>
      <c r="P12">
        <f t="shared" si="9"/>
        <v>1.7</v>
      </c>
      <c r="Q12">
        <f t="shared" si="9"/>
        <v>16</v>
      </c>
      <c r="R12">
        <f t="shared" si="9"/>
        <v>1.4</v>
      </c>
      <c r="S12">
        <f t="shared" si="9"/>
        <v>3.7</v>
      </c>
    </row>
    <row r="13" spans="1:23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23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23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23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10">ABS(H18-L18)</f>
        <v>0</v>
      </c>
      <c r="P18">
        <f t="shared" ref="P18:P27" si="11">ABS(I18-M18)</f>
        <v>0</v>
      </c>
      <c r="Q18">
        <f>N18^2</f>
        <v>9</v>
      </c>
      <c r="R18">
        <f t="shared" ref="R18:R27" si="12">O18^2</f>
        <v>0</v>
      </c>
      <c r="S18">
        <f t="shared" ref="S18:S27" si="13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4">ABS(G19-K19)</f>
        <v>2</v>
      </c>
      <c r="O19">
        <f t="shared" si="10"/>
        <v>1</v>
      </c>
      <c r="P19">
        <f t="shared" si="11"/>
        <v>0</v>
      </c>
      <c r="Q19">
        <f t="shared" ref="Q19:Q27" si="15">N19^2</f>
        <v>4</v>
      </c>
      <c r="R19">
        <f t="shared" si="12"/>
        <v>1</v>
      </c>
      <c r="S19">
        <f t="shared" si="13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4"/>
        <v>1</v>
      </c>
      <c r="O20">
        <f t="shared" si="10"/>
        <v>0</v>
      </c>
      <c r="P20">
        <f t="shared" si="11"/>
        <v>2</v>
      </c>
      <c r="Q20">
        <f t="shared" si="15"/>
        <v>1</v>
      </c>
      <c r="R20">
        <f t="shared" si="12"/>
        <v>0</v>
      </c>
      <c r="S20">
        <f t="shared" si="13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4"/>
        <v>3</v>
      </c>
      <c r="O21">
        <f t="shared" si="10"/>
        <v>2</v>
      </c>
      <c r="P21">
        <f t="shared" si="11"/>
        <v>2</v>
      </c>
      <c r="Q21">
        <f t="shared" si="15"/>
        <v>9</v>
      </c>
      <c r="R21">
        <f t="shared" si="12"/>
        <v>4</v>
      </c>
      <c r="S21">
        <f t="shared" si="13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4"/>
        <v>1</v>
      </c>
      <c r="O22">
        <f t="shared" si="10"/>
        <v>0</v>
      </c>
      <c r="P22">
        <f t="shared" si="11"/>
        <v>0</v>
      </c>
      <c r="Q22">
        <f t="shared" si="15"/>
        <v>1</v>
      </c>
      <c r="R22">
        <f t="shared" si="12"/>
        <v>0</v>
      </c>
      <c r="S22">
        <f t="shared" si="13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4"/>
        <v>0</v>
      </c>
      <c r="O23">
        <f t="shared" si="10"/>
        <v>0</v>
      </c>
      <c r="P23">
        <f t="shared" si="11"/>
        <v>0</v>
      </c>
      <c r="Q23">
        <f t="shared" si="15"/>
        <v>0</v>
      </c>
      <c r="R23">
        <f t="shared" si="12"/>
        <v>0</v>
      </c>
      <c r="S23">
        <f t="shared" si="13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4"/>
        <v>12</v>
      </c>
      <c r="O24">
        <f t="shared" si="10"/>
        <v>1</v>
      </c>
      <c r="P24">
        <f t="shared" si="11"/>
        <v>1</v>
      </c>
      <c r="Q24">
        <f t="shared" si="15"/>
        <v>144</v>
      </c>
      <c r="R24">
        <f t="shared" si="12"/>
        <v>1</v>
      </c>
      <c r="S24">
        <f t="shared" si="13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4"/>
        <v>1</v>
      </c>
      <c r="O25">
        <f t="shared" si="10"/>
        <v>0</v>
      </c>
      <c r="P25">
        <f t="shared" si="11"/>
        <v>1</v>
      </c>
      <c r="Q25">
        <f t="shared" si="15"/>
        <v>1</v>
      </c>
      <c r="R25">
        <f t="shared" si="12"/>
        <v>0</v>
      </c>
      <c r="S25">
        <f t="shared" si="13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4"/>
        <v>0</v>
      </c>
      <c r="O26">
        <f t="shared" si="10"/>
        <v>0</v>
      </c>
      <c r="P26">
        <f t="shared" si="11"/>
        <v>1</v>
      </c>
      <c r="Q26">
        <f t="shared" si="15"/>
        <v>0</v>
      </c>
      <c r="R26">
        <f t="shared" si="12"/>
        <v>0</v>
      </c>
      <c r="S26">
        <f t="shared" si="13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4"/>
        <v>1</v>
      </c>
      <c r="O27">
        <f t="shared" si="10"/>
        <v>0</v>
      </c>
      <c r="P27">
        <f t="shared" si="11"/>
        <v>1</v>
      </c>
      <c r="Q27">
        <f t="shared" si="15"/>
        <v>1</v>
      </c>
      <c r="R27">
        <f t="shared" si="12"/>
        <v>0</v>
      </c>
      <c r="S27">
        <f t="shared" si="13"/>
        <v>1</v>
      </c>
    </row>
    <row r="28" spans="1:19">
      <c r="N28">
        <f t="shared" ref="N28:S28" si="16">AVERAGE(N18:N27)</f>
        <v>2.4</v>
      </c>
      <c r="O28">
        <f t="shared" si="16"/>
        <v>0.4</v>
      </c>
      <c r="P28">
        <f t="shared" si="16"/>
        <v>0.8</v>
      </c>
      <c r="Q28">
        <f t="shared" si="16"/>
        <v>17</v>
      </c>
      <c r="R28">
        <f t="shared" si="16"/>
        <v>0.6</v>
      </c>
      <c r="S28">
        <f t="shared" si="16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C25D5-A457-4A5B-BC5A-4FA1B685C426}">
  <dimension ref="A1:P17"/>
  <sheetViews>
    <sheetView tabSelected="1" workbookViewId="0">
      <selection activeCell="E16" sqref="E16"/>
    </sheetView>
  </sheetViews>
  <sheetFormatPr defaultRowHeight="18"/>
  <sheetData>
    <row r="1" spans="1:16">
      <c r="A1" t="s">
        <v>138</v>
      </c>
    </row>
    <row r="2" spans="1:16">
      <c r="B2" t="s">
        <v>67</v>
      </c>
      <c r="F2" t="s">
        <v>68</v>
      </c>
      <c r="J2" t="s">
        <v>69</v>
      </c>
      <c r="N2" t="s">
        <v>140</v>
      </c>
    </row>
    <row r="3" spans="1:16">
      <c r="B3" t="s">
        <v>135</v>
      </c>
      <c r="C3" t="s">
        <v>141</v>
      </c>
      <c r="D3" t="s">
        <v>136</v>
      </c>
      <c r="E3" t="s">
        <v>137</v>
      </c>
      <c r="F3" t="s">
        <v>135</v>
      </c>
      <c r="G3" t="s">
        <v>141</v>
      </c>
      <c r="H3" t="s">
        <v>136</v>
      </c>
      <c r="I3" t="s">
        <v>137</v>
      </c>
      <c r="J3" t="s">
        <v>135</v>
      </c>
      <c r="K3" t="s">
        <v>141</v>
      </c>
      <c r="L3" t="s">
        <v>136</v>
      </c>
      <c r="M3" t="s">
        <v>137</v>
      </c>
      <c r="N3" t="s">
        <v>135</v>
      </c>
      <c r="O3" t="s">
        <v>136</v>
      </c>
      <c r="P3" t="s">
        <v>137</v>
      </c>
    </row>
    <row r="4" spans="1:16">
      <c r="A4">
        <v>1</v>
      </c>
      <c r="B4">
        <v>8</v>
      </c>
      <c r="D4">
        <v>0.62949999999999995</v>
      </c>
      <c r="E4">
        <v>0.32700000000000001</v>
      </c>
      <c r="F4">
        <v>34.4</v>
      </c>
      <c r="H4">
        <v>0.30359999999999998</v>
      </c>
      <c r="I4">
        <v>0.62809999999999999</v>
      </c>
      <c r="J4">
        <v>3.6</v>
      </c>
      <c r="L4">
        <v>0.15459999999999999</v>
      </c>
      <c r="M4">
        <v>4.58E-2</v>
      </c>
      <c r="N4">
        <v>0.4</v>
      </c>
      <c r="O4">
        <v>0.17910000000000001</v>
      </c>
      <c r="P4">
        <v>0.28210000000000002</v>
      </c>
    </row>
    <row r="5" spans="1:16">
      <c r="A5">
        <v>2</v>
      </c>
      <c r="B5">
        <v>8</v>
      </c>
      <c r="D5">
        <v>0.63429999999999997</v>
      </c>
      <c r="E5">
        <v>0.33029999999999998</v>
      </c>
      <c r="F5">
        <v>34.299999999999997</v>
      </c>
      <c r="H5">
        <v>0.30349999999999999</v>
      </c>
      <c r="I5">
        <v>0.62590000000000001</v>
      </c>
      <c r="J5">
        <v>3.6</v>
      </c>
      <c r="L5">
        <v>0.15459999999999999</v>
      </c>
      <c r="M5">
        <v>4.5699999999999998E-2</v>
      </c>
    </row>
    <row r="6" spans="1:16">
      <c r="A6">
        <v>3</v>
      </c>
      <c r="B6">
        <v>8</v>
      </c>
      <c r="D6">
        <v>0.627</v>
      </c>
      <c r="E6">
        <v>0.32850000000000001</v>
      </c>
      <c r="F6">
        <v>34.4</v>
      </c>
      <c r="H6">
        <v>0.30480000000000002</v>
      </c>
      <c r="I6">
        <v>0.62519999999999998</v>
      </c>
      <c r="J6">
        <v>3.6</v>
      </c>
      <c r="L6">
        <v>0.15379999999999999</v>
      </c>
      <c r="M6">
        <v>4.5699999999999998E-2</v>
      </c>
    </row>
    <row r="7" spans="1:16">
      <c r="A7" t="s">
        <v>86</v>
      </c>
      <c r="B7">
        <f>AVERAGE(B4:B6)</f>
        <v>8</v>
      </c>
      <c r="C7" t="e">
        <f t="shared" ref="C7:M7" si="0">AVERAGE(C4:C6)</f>
        <v>#DIV/0!</v>
      </c>
      <c r="D7">
        <f t="shared" si="0"/>
        <v>0.63026666666666664</v>
      </c>
      <c r="E7">
        <f t="shared" si="0"/>
        <v>0.3286</v>
      </c>
      <c r="F7">
        <f t="shared" si="0"/>
        <v>34.366666666666667</v>
      </c>
      <c r="G7" t="e">
        <f t="shared" si="0"/>
        <v>#DIV/0!</v>
      </c>
      <c r="H7">
        <f t="shared" si="0"/>
        <v>0.30396666666666666</v>
      </c>
      <c r="I7">
        <f t="shared" si="0"/>
        <v>0.62639999999999996</v>
      </c>
      <c r="J7">
        <f t="shared" si="0"/>
        <v>3.6</v>
      </c>
      <c r="K7" t="e">
        <f t="shared" si="0"/>
        <v>#DIV/0!</v>
      </c>
      <c r="L7">
        <f t="shared" si="0"/>
        <v>0.15433333333333332</v>
      </c>
      <c r="M7">
        <f t="shared" si="0"/>
        <v>4.5733333333333327E-2</v>
      </c>
    </row>
    <row r="8" spans="1:16">
      <c r="A8" t="s">
        <v>134</v>
      </c>
      <c r="B8">
        <f>_xlfn.STDEV.P(B4:B6)</f>
        <v>0</v>
      </c>
      <c r="C8" t="e">
        <f t="shared" ref="C8:K8" si="1">_xlfn.STDEV.P(C4:C6)</f>
        <v>#DIV/0!</v>
      </c>
      <c r="D8">
        <f t="shared" si="1"/>
        <v>3.0291179500896805E-3</v>
      </c>
      <c r="E8">
        <f t="shared" si="1"/>
        <v>1.3490737563231915E-3</v>
      </c>
      <c r="F8">
        <f t="shared" si="1"/>
        <v>4.7140452079103841E-2</v>
      </c>
      <c r="G8" t="e">
        <f t="shared" si="1"/>
        <v>#DIV/0!</v>
      </c>
      <c r="H8">
        <f t="shared" si="1"/>
        <v>5.9066817155565827E-4</v>
      </c>
      <c r="I8">
        <f t="shared" si="1"/>
        <v>1.235583532856711E-3</v>
      </c>
      <c r="J8">
        <f t="shared" si="1"/>
        <v>0</v>
      </c>
      <c r="K8" t="e">
        <f t="shared" si="1"/>
        <v>#DIV/0!</v>
      </c>
      <c r="L8">
        <f>_xlfn.STDEV.P(L4:L6)</f>
        <v>3.7712361663282308E-4</v>
      </c>
      <c r="M8">
        <f>_xlfn.STDEV.P(M4:M6)</f>
        <v>4.7140452079104518E-5</v>
      </c>
    </row>
    <row r="10" spans="1:16">
      <c r="A10" t="s">
        <v>139</v>
      </c>
    </row>
    <row r="11" spans="1:16">
      <c r="B11" t="s">
        <v>67</v>
      </c>
      <c r="F11" t="s">
        <v>68</v>
      </c>
      <c r="J11" t="s">
        <v>69</v>
      </c>
      <c r="N11" t="s">
        <v>140</v>
      </c>
    </row>
    <row r="12" spans="1:16">
      <c r="B12" t="s">
        <v>135</v>
      </c>
      <c r="C12" t="s">
        <v>141</v>
      </c>
      <c r="D12" t="s">
        <v>136</v>
      </c>
      <c r="E12" t="s">
        <v>137</v>
      </c>
      <c r="F12" t="s">
        <v>135</v>
      </c>
      <c r="G12" t="s">
        <v>141</v>
      </c>
      <c r="H12" t="s">
        <v>136</v>
      </c>
      <c r="I12" t="s">
        <v>137</v>
      </c>
      <c r="J12" t="s">
        <v>135</v>
      </c>
      <c r="K12" t="s">
        <v>141</v>
      </c>
      <c r="L12" t="s">
        <v>136</v>
      </c>
      <c r="M12" t="s">
        <v>137</v>
      </c>
      <c r="N12" t="s">
        <v>135</v>
      </c>
      <c r="O12" t="s">
        <v>136</v>
      </c>
      <c r="P12" t="s">
        <v>137</v>
      </c>
    </row>
    <row r="13" spans="1:16">
      <c r="A13">
        <v>1</v>
      </c>
      <c r="B13">
        <v>19.899999999999999</v>
      </c>
      <c r="D13">
        <v>0.64500000000000002</v>
      </c>
      <c r="E13">
        <v>0.33239999999999997</v>
      </c>
      <c r="F13">
        <v>71.7</v>
      </c>
      <c r="H13">
        <v>0.31890000000000002</v>
      </c>
      <c r="I13">
        <v>0.62309999999999999</v>
      </c>
      <c r="J13">
        <v>6.9</v>
      </c>
      <c r="L13">
        <v>0.15240000000000001</v>
      </c>
      <c r="M13">
        <v>5.28E-2</v>
      </c>
      <c r="N13">
        <v>0.2</v>
      </c>
      <c r="O13">
        <v>0.21340000000000001</v>
      </c>
      <c r="P13">
        <v>0.18429999999999999</v>
      </c>
    </row>
    <row r="14" spans="1:16">
      <c r="A14">
        <v>2</v>
      </c>
      <c r="B14">
        <v>19.899999999999999</v>
      </c>
      <c r="D14">
        <v>0.64500000000000002</v>
      </c>
      <c r="E14">
        <v>0.33160000000000001</v>
      </c>
      <c r="F14">
        <v>71.8</v>
      </c>
      <c r="H14">
        <v>0.31859999999999999</v>
      </c>
      <c r="I14">
        <v>0.62339999999999995</v>
      </c>
      <c r="J14">
        <v>7</v>
      </c>
      <c r="L14">
        <v>0.1525</v>
      </c>
      <c r="M14">
        <v>5.2699999999999997E-2</v>
      </c>
    </row>
    <row r="15" spans="1:16">
      <c r="A15">
        <v>3</v>
      </c>
      <c r="B15">
        <v>19.899999999999999</v>
      </c>
      <c r="D15">
        <v>0.64439999999999997</v>
      </c>
      <c r="E15">
        <v>0.33210000000000001</v>
      </c>
      <c r="F15">
        <v>71.900000000000006</v>
      </c>
      <c r="H15">
        <v>0.31979999999999997</v>
      </c>
      <c r="I15">
        <v>0.62290000000000001</v>
      </c>
      <c r="J15">
        <v>7</v>
      </c>
      <c r="L15">
        <v>0.1525</v>
      </c>
      <c r="M15">
        <v>5.2600000000000001E-2</v>
      </c>
    </row>
    <row r="16" spans="1:16">
      <c r="A16" t="s">
        <v>86</v>
      </c>
      <c r="B16">
        <f>AVERAGE(B13:B15)</f>
        <v>19.899999999999999</v>
      </c>
      <c r="C16" t="e">
        <f t="shared" ref="C16:K16" si="2">AVERAGE(C13:C15)</f>
        <v>#DIV/0!</v>
      </c>
      <c r="D16">
        <f t="shared" si="2"/>
        <v>0.64480000000000004</v>
      </c>
      <c r="E16">
        <f t="shared" si="2"/>
        <v>0.33203333333333335</v>
      </c>
      <c r="F16">
        <f t="shared" si="2"/>
        <v>71.8</v>
      </c>
      <c r="G16" t="e">
        <f t="shared" si="2"/>
        <v>#DIV/0!</v>
      </c>
      <c r="H16">
        <f t="shared" si="2"/>
        <v>0.31909999999999999</v>
      </c>
      <c r="I16">
        <f t="shared" si="2"/>
        <v>0.62313333333333332</v>
      </c>
      <c r="J16">
        <f t="shared" si="2"/>
        <v>6.9666666666666659</v>
      </c>
      <c r="K16" t="e">
        <f t="shared" si="2"/>
        <v>#DIV/0!</v>
      </c>
      <c r="L16">
        <f>AVERAGE(L13:L15)</f>
        <v>0.15246666666666667</v>
      </c>
      <c r="M16">
        <f>AVERAGE(M13:M15)</f>
        <v>5.2699999999999997E-2</v>
      </c>
    </row>
    <row r="17" spans="1:13">
      <c r="A17" t="s">
        <v>134</v>
      </c>
      <c r="B17">
        <f>_xlfn.STDEV.P(B13:B15)</f>
        <v>0</v>
      </c>
      <c r="C17" t="e">
        <f t="shared" ref="C17:K17" si="3">_xlfn.STDEV.P(C13:C15)</f>
        <v>#DIV/0!</v>
      </c>
      <c r="D17">
        <f t="shared" si="3"/>
        <v>2.8284271247464021E-4</v>
      </c>
      <c r="E17">
        <f t="shared" si="3"/>
        <v>3.2998316455371012E-4</v>
      </c>
      <c r="F17">
        <f t="shared" si="3"/>
        <v>8.1649658092773761E-2</v>
      </c>
      <c r="G17" t="e">
        <f t="shared" si="3"/>
        <v>#DIV/0!</v>
      </c>
      <c r="H17">
        <f t="shared" si="3"/>
        <v>5.0990195135926588E-4</v>
      </c>
      <c r="I17">
        <f t="shared" si="3"/>
        <v>2.0548046676560993E-4</v>
      </c>
      <c r="J17">
        <f t="shared" si="3"/>
        <v>4.7140452079103001E-2</v>
      </c>
      <c r="K17" t="e">
        <f t="shared" si="3"/>
        <v>#DIV/0!</v>
      </c>
      <c r="L17">
        <f>_xlfn.STDEV.P(L13:L15)</f>
        <v>4.7140452079097985E-5</v>
      </c>
      <c r="M17">
        <f>_xlfn.STDEV.P(M13:M15)</f>
        <v>8.1649658092772107E-5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5" t="s">
        <v>58</v>
      </c>
      <c r="C1" s="25"/>
      <c r="D1" s="25" t="s">
        <v>59</v>
      </c>
      <c r="E1" s="25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9"/>
  <sheetViews>
    <sheetView showGridLines="0" zoomScale="44" workbookViewId="0">
      <selection activeCell="A12" sqref="A12:L19"/>
    </sheetView>
  </sheetViews>
  <sheetFormatPr defaultRowHeight="18"/>
  <cols>
    <col min="1" max="1" width="19.69921875" customWidth="1"/>
    <col min="2" max="12" width="14.19921875" style="19" customWidth="1"/>
  </cols>
  <sheetData>
    <row r="1" spans="1:12">
      <c r="A1" t="s">
        <v>115</v>
      </c>
    </row>
    <row r="2" spans="1:12">
      <c r="A2" s="16" t="s">
        <v>124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6" t="s">
        <v>123</v>
      </c>
      <c r="I2" s="20"/>
      <c r="J2" s="20"/>
      <c r="K2" s="20"/>
      <c r="L2" s="20"/>
    </row>
    <row r="3" spans="1:12">
      <c r="A3" s="21">
        <v>46098</v>
      </c>
      <c r="B3" s="20">
        <v>30</v>
      </c>
      <c r="C3" s="20">
        <v>25</v>
      </c>
      <c r="D3" s="20">
        <v>19</v>
      </c>
      <c r="E3" s="20">
        <v>15</v>
      </c>
      <c r="F3" s="20">
        <v>9</v>
      </c>
      <c r="G3" s="20">
        <v>6</v>
      </c>
      <c r="H3" s="20">
        <v>0</v>
      </c>
      <c r="I3" s="20"/>
      <c r="J3" s="20"/>
      <c r="K3" s="20"/>
      <c r="L3" s="20"/>
    </row>
    <row r="4" spans="1:12">
      <c r="A4" s="21">
        <v>46103</v>
      </c>
      <c r="B4" s="20">
        <v>30</v>
      </c>
      <c r="C4" s="20">
        <v>26</v>
      </c>
      <c r="D4" s="20">
        <v>20</v>
      </c>
      <c r="E4" s="20">
        <v>16</v>
      </c>
      <c r="F4" s="20">
        <v>9</v>
      </c>
      <c r="G4" s="20">
        <v>6</v>
      </c>
      <c r="H4" s="20">
        <v>0</v>
      </c>
      <c r="I4" s="20"/>
      <c r="J4" s="20"/>
      <c r="K4" s="20"/>
      <c r="L4" s="20"/>
    </row>
    <row r="5" spans="1:12">
      <c r="A5" s="21">
        <v>46105</v>
      </c>
      <c r="B5" s="20">
        <v>29</v>
      </c>
      <c r="C5" s="20">
        <v>25</v>
      </c>
      <c r="D5" s="20">
        <v>19</v>
      </c>
      <c r="E5" s="20">
        <v>16</v>
      </c>
      <c r="F5" s="20">
        <v>9</v>
      </c>
      <c r="G5" s="20">
        <v>6</v>
      </c>
      <c r="H5" s="20">
        <v>0</v>
      </c>
      <c r="I5" s="20"/>
      <c r="J5" s="20"/>
      <c r="K5" s="20"/>
      <c r="L5" s="20"/>
    </row>
    <row r="6" spans="1:12">
      <c r="A6" s="21">
        <v>46108</v>
      </c>
      <c r="B6" s="20">
        <v>31</v>
      </c>
      <c r="C6" s="20">
        <v>27</v>
      </c>
      <c r="D6" s="20">
        <v>21</v>
      </c>
      <c r="E6" s="20">
        <v>17</v>
      </c>
      <c r="F6" s="20">
        <v>11</v>
      </c>
      <c r="G6" s="20">
        <v>7</v>
      </c>
      <c r="H6" s="20">
        <v>0</v>
      </c>
      <c r="I6" s="20"/>
      <c r="J6" s="20"/>
      <c r="K6" s="20"/>
      <c r="L6" s="20"/>
    </row>
    <row r="7" spans="1:12">
      <c r="A7" s="22">
        <v>46112</v>
      </c>
      <c r="B7" s="14">
        <v>29</v>
      </c>
      <c r="C7" s="14">
        <v>25</v>
      </c>
      <c r="D7" s="14">
        <v>19</v>
      </c>
      <c r="E7" s="14">
        <v>15</v>
      </c>
      <c r="F7" s="14">
        <v>9</v>
      </c>
      <c r="G7" s="14">
        <v>5</v>
      </c>
      <c r="H7" s="14">
        <v>0</v>
      </c>
      <c r="I7" s="20"/>
      <c r="J7" s="20"/>
      <c r="K7" s="20"/>
      <c r="L7" s="20"/>
    </row>
    <row r="8" spans="1:12">
      <c r="A8" s="20" t="s">
        <v>113</v>
      </c>
      <c r="B8" s="20">
        <f>AVERAGE(B3:B7)</f>
        <v>29.8</v>
      </c>
      <c r="C8" s="20">
        <f t="shared" ref="C8:H8" si="0">AVERAGE(C3:C7)</f>
        <v>25.6</v>
      </c>
      <c r="D8" s="20">
        <f t="shared" si="0"/>
        <v>19.600000000000001</v>
      </c>
      <c r="E8" s="20">
        <f t="shared" si="0"/>
        <v>15.8</v>
      </c>
      <c r="F8" s="20">
        <f t="shared" si="0"/>
        <v>9.4</v>
      </c>
      <c r="G8" s="20">
        <f t="shared" si="0"/>
        <v>6</v>
      </c>
      <c r="H8" s="20">
        <f t="shared" si="0"/>
        <v>0</v>
      </c>
      <c r="I8" s="20"/>
      <c r="J8" s="20"/>
      <c r="K8" s="20"/>
      <c r="L8" s="20"/>
    </row>
    <row r="9" spans="1:12">
      <c r="A9" s="14" t="s">
        <v>114</v>
      </c>
      <c r="B9" s="23">
        <f>_xlfn.STDEV.P(B3:B7)</f>
        <v>0.74833147735478822</v>
      </c>
      <c r="C9" s="23">
        <f t="shared" ref="C9:H9" si="1">_xlfn.STDEV.P(C3:C7)</f>
        <v>0.79999999999999993</v>
      </c>
      <c r="D9" s="23">
        <f t="shared" si="1"/>
        <v>0.79999999999999993</v>
      </c>
      <c r="E9" s="23">
        <f t="shared" si="1"/>
        <v>0.74833147735478822</v>
      </c>
      <c r="F9" s="23">
        <f t="shared" si="1"/>
        <v>0.79999999999999993</v>
      </c>
      <c r="G9" s="23">
        <f t="shared" si="1"/>
        <v>0.63245553203367588</v>
      </c>
      <c r="H9" s="23">
        <f t="shared" si="1"/>
        <v>0</v>
      </c>
      <c r="I9" s="20"/>
      <c r="J9" s="20"/>
      <c r="K9" s="20"/>
      <c r="L9" s="20"/>
    </row>
    <row r="10" spans="1:1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spans="1:12">
      <c r="A11" s="20" t="s">
        <v>116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spans="1:12">
      <c r="A12" s="16" t="s">
        <v>124</v>
      </c>
      <c r="B12" s="16" t="s">
        <v>125</v>
      </c>
      <c r="C12" s="16" t="s">
        <v>126</v>
      </c>
      <c r="D12" s="16" t="s">
        <v>127</v>
      </c>
      <c r="E12" s="16" t="s">
        <v>119</v>
      </c>
      <c r="F12" s="16" t="s">
        <v>128</v>
      </c>
      <c r="G12" s="16" t="s">
        <v>129</v>
      </c>
      <c r="H12" s="16" t="s">
        <v>130</v>
      </c>
      <c r="I12" s="16" t="s">
        <v>131</v>
      </c>
      <c r="J12" s="16" t="s">
        <v>132</v>
      </c>
      <c r="K12" s="16" t="s">
        <v>133</v>
      </c>
      <c r="L12" s="16" t="s">
        <v>123</v>
      </c>
    </row>
    <row r="13" spans="1:12">
      <c r="A13" s="21">
        <v>46098</v>
      </c>
      <c r="B13" s="20">
        <v>97</v>
      </c>
      <c r="C13" s="20">
        <v>87</v>
      </c>
      <c r="D13" s="20">
        <v>77</v>
      </c>
      <c r="E13" s="20">
        <v>67</v>
      </c>
      <c r="F13" s="20">
        <v>58</v>
      </c>
      <c r="G13" s="20">
        <v>49</v>
      </c>
      <c r="H13" s="20">
        <v>38</v>
      </c>
      <c r="I13" s="20">
        <v>29</v>
      </c>
      <c r="J13" s="20">
        <v>19</v>
      </c>
      <c r="K13" s="20">
        <v>10</v>
      </c>
      <c r="L13" s="20">
        <v>0</v>
      </c>
    </row>
    <row r="14" spans="1:12">
      <c r="A14" s="21">
        <v>46103</v>
      </c>
      <c r="B14" s="20">
        <v>99</v>
      </c>
      <c r="C14" s="20">
        <v>89</v>
      </c>
      <c r="D14" s="20">
        <v>79</v>
      </c>
      <c r="E14" s="20">
        <v>69</v>
      </c>
      <c r="F14" s="20">
        <v>60</v>
      </c>
      <c r="G14" s="20">
        <v>50</v>
      </c>
      <c r="H14" s="20">
        <v>39</v>
      </c>
      <c r="I14" s="20">
        <v>30</v>
      </c>
      <c r="J14" s="20">
        <v>20</v>
      </c>
      <c r="K14" s="20">
        <v>10</v>
      </c>
      <c r="L14" s="20">
        <v>0</v>
      </c>
    </row>
    <row r="15" spans="1:12">
      <c r="A15" s="21">
        <v>46105</v>
      </c>
      <c r="B15" s="20">
        <v>97</v>
      </c>
      <c r="C15" s="20">
        <v>87</v>
      </c>
      <c r="D15" s="20">
        <v>78</v>
      </c>
      <c r="E15" s="20">
        <v>67</v>
      </c>
      <c r="F15" s="20">
        <v>58</v>
      </c>
      <c r="G15" s="20">
        <v>49</v>
      </c>
      <c r="H15" s="20">
        <v>38</v>
      </c>
      <c r="I15" s="20">
        <v>29</v>
      </c>
      <c r="J15" s="20">
        <v>19</v>
      </c>
      <c r="K15" s="20">
        <v>9</v>
      </c>
      <c r="L15" s="20">
        <v>0</v>
      </c>
    </row>
    <row r="16" spans="1:12">
      <c r="A16" s="21">
        <v>46108</v>
      </c>
      <c r="B16" s="20">
        <v>102</v>
      </c>
      <c r="C16" s="20">
        <v>94</v>
      </c>
      <c r="D16" s="20">
        <v>84</v>
      </c>
      <c r="E16" s="20">
        <v>74</v>
      </c>
      <c r="F16" s="20">
        <v>64</v>
      </c>
      <c r="G16" s="20">
        <v>55</v>
      </c>
      <c r="H16" s="20">
        <v>44</v>
      </c>
      <c r="I16" s="20">
        <v>34</v>
      </c>
      <c r="J16" s="20">
        <v>23</v>
      </c>
      <c r="K16" s="20">
        <v>11</v>
      </c>
      <c r="L16" s="20">
        <v>0</v>
      </c>
    </row>
    <row r="17" spans="1:12">
      <c r="A17" s="22">
        <v>46112</v>
      </c>
      <c r="B17" s="14">
        <v>98</v>
      </c>
      <c r="C17" s="14">
        <v>88</v>
      </c>
      <c r="D17" s="14">
        <v>77</v>
      </c>
      <c r="E17" s="14">
        <v>67</v>
      </c>
      <c r="F17" s="14">
        <v>59</v>
      </c>
      <c r="G17" s="14">
        <v>49</v>
      </c>
      <c r="H17" s="14">
        <v>38</v>
      </c>
      <c r="I17" s="14">
        <v>29</v>
      </c>
      <c r="J17" s="14">
        <v>19</v>
      </c>
      <c r="K17" s="14">
        <v>10</v>
      </c>
      <c r="L17" s="14">
        <v>0</v>
      </c>
    </row>
    <row r="18" spans="1:12">
      <c r="A18" s="20" t="s">
        <v>113</v>
      </c>
      <c r="B18" s="20">
        <f>AVERAGE(B13:B17)</f>
        <v>98.6</v>
      </c>
      <c r="C18" s="20">
        <f t="shared" ref="C18:L18" si="2">AVERAGE(C13:C17)</f>
        <v>89</v>
      </c>
      <c r="D18" s="20">
        <f t="shared" si="2"/>
        <v>79</v>
      </c>
      <c r="E18" s="20">
        <f t="shared" si="2"/>
        <v>68.8</v>
      </c>
      <c r="F18" s="20">
        <f t="shared" si="2"/>
        <v>59.8</v>
      </c>
      <c r="G18" s="20">
        <f t="shared" si="2"/>
        <v>50.4</v>
      </c>
      <c r="H18" s="20">
        <f t="shared" si="2"/>
        <v>39.4</v>
      </c>
      <c r="I18" s="20">
        <f t="shared" si="2"/>
        <v>30.2</v>
      </c>
      <c r="J18" s="20">
        <f t="shared" si="2"/>
        <v>20</v>
      </c>
      <c r="K18" s="20">
        <f t="shared" si="2"/>
        <v>10</v>
      </c>
      <c r="L18" s="20">
        <f t="shared" si="2"/>
        <v>0</v>
      </c>
    </row>
    <row r="19" spans="1:12">
      <c r="A19" s="14" t="s">
        <v>114</v>
      </c>
      <c r="B19" s="23">
        <f>_xlfn.STDEV.P(B13:B17)</f>
        <v>1.8547236990991407</v>
      </c>
      <c r="C19" s="23">
        <f t="shared" ref="C19:L19" si="3">_xlfn.STDEV.P(C13:C17)</f>
        <v>2.6076809620810595</v>
      </c>
      <c r="D19" s="23">
        <f t="shared" si="3"/>
        <v>2.6076809620810595</v>
      </c>
      <c r="E19" s="23">
        <f t="shared" si="3"/>
        <v>2.7129319932501073</v>
      </c>
      <c r="F19" s="23">
        <f t="shared" si="3"/>
        <v>2.2271057451320089</v>
      </c>
      <c r="G19" s="23">
        <f t="shared" si="3"/>
        <v>2.3323807579381204</v>
      </c>
      <c r="H19" s="23">
        <f t="shared" si="3"/>
        <v>2.3323807579381204</v>
      </c>
      <c r="I19" s="23">
        <f t="shared" si="3"/>
        <v>1.9390719429665315</v>
      </c>
      <c r="J19" s="23">
        <f t="shared" si="3"/>
        <v>1.5491933384829668</v>
      </c>
      <c r="K19" s="23">
        <f t="shared" si="3"/>
        <v>0.63245553203367588</v>
      </c>
      <c r="L19" s="23">
        <f t="shared" si="3"/>
        <v>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W31"/>
  <sheetViews>
    <sheetView topLeftCell="M1" zoomScale="111" workbookViewId="0">
      <selection activeCell="U8" sqref="U8:W10"/>
    </sheetView>
  </sheetViews>
  <sheetFormatPr defaultRowHeight="18"/>
  <cols>
    <col min="6" max="6" width="8.796875" style="17"/>
    <col min="10" max="10" width="8.796875" style="18"/>
  </cols>
  <sheetData>
    <row r="1" spans="1:23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23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  <c r="U2" s="24">
        <v>0.91309865000000001</v>
      </c>
      <c r="V2">
        <v>2.0288560000000001E-2</v>
      </c>
      <c r="W2">
        <v>1.2286490000000001E-2</v>
      </c>
    </row>
    <row r="3" spans="1:23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  <c r="U3" s="24">
        <v>5.4480279999999999E-2</v>
      </c>
      <c r="V3">
        <v>0.83076987999999996</v>
      </c>
      <c r="W3">
        <v>0.13843162000000001</v>
      </c>
    </row>
    <row r="4" spans="1:23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  <c r="U4" s="24">
        <v>2.42822E-3</v>
      </c>
      <c r="V4">
        <v>2.121901E-2</v>
      </c>
      <c r="W4">
        <v>0.52099556999999996</v>
      </c>
    </row>
    <row r="5" spans="1:23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  <c r="U5" s="24">
        <v>2.732089E-2</v>
      </c>
      <c r="V5">
        <v>2.42822E-3</v>
      </c>
      <c r="W5">
        <v>1.8211600000000001E-3</v>
      </c>
    </row>
    <row r="6" spans="1:23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  <c r="U6" s="24">
        <v>4.3914399999999999E-3</v>
      </c>
      <c r="V6">
        <v>3.5601309999999997E-2</v>
      </c>
      <c r="W6">
        <v>9.1340599999999994E-3</v>
      </c>
    </row>
    <row r="7" spans="1:23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  <c r="U7" s="24">
        <v>1.8211600000000001E-3</v>
      </c>
      <c r="V7">
        <v>3.0352700000000001E-3</v>
      </c>
      <c r="W7">
        <v>3.4339809999999998E-2</v>
      </c>
    </row>
    <row r="8" spans="1:23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  <c r="U8">
        <f>U5/U2</f>
        <v>2.9921071507443362E-2</v>
      </c>
      <c r="V8">
        <f t="shared" ref="V8:W8" si="5">V5/V2</f>
        <v>0.11968419641413683</v>
      </c>
      <c r="W8">
        <f t="shared" si="5"/>
        <v>0.14822459465640717</v>
      </c>
    </row>
    <row r="9" spans="1:23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  <c r="U9">
        <f t="shared" ref="U9:W9" si="6">U6/U3</f>
        <v>8.060604681180053E-2</v>
      </c>
      <c r="V9">
        <f t="shared" si="6"/>
        <v>4.2853395214568921E-2</v>
      </c>
      <c r="W9">
        <f t="shared" si="6"/>
        <v>6.5982468456267429E-2</v>
      </c>
    </row>
    <row r="10" spans="1:23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  <c r="U10">
        <f t="shared" ref="U10:W10" si="7">U7/U4</f>
        <v>0.74999794087850358</v>
      </c>
      <c r="V10">
        <f t="shared" si="7"/>
        <v>0.14304484516478386</v>
      </c>
      <c r="W10">
        <f t="shared" si="7"/>
        <v>6.591190401100723E-2</v>
      </c>
    </row>
    <row r="11" spans="1:23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23">
      <c r="A12" t="s">
        <v>86</v>
      </c>
      <c r="N12">
        <f t="shared" ref="N12:S12" si="8">AVERAGE(N2:N11)</f>
        <v>3.5</v>
      </c>
      <c r="O12">
        <f t="shared" si="8"/>
        <v>2.2999999999999998</v>
      </c>
      <c r="P12">
        <f t="shared" si="8"/>
        <v>0.8</v>
      </c>
      <c r="Q12">
        <f t="shared" si="8"/>
        <v>27.3</v>
      </c>
      <c r="R12">
        <f t="shared" si="8"/>
        <v>6.9</v>
      </c>
      <c r="S12">
        <f t="shared" si="8"/>
        <v>1.2</v>
      </c>
    </row>
    <row r="13" spans="1:23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23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23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23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9">ABS(H18-L18)</f>
        <v>0</v>
      </c>
      <c r="P18">
        <f t="shared" ref="P18:P27" si="10">ABS(I18-M18)</f>
        <v>1</v>
      </c>
      <c r="Q18">
        <f>N18^2</f>
        <v>0</v>
      </c>
      <c r="R18">
        <f t="shared" ref="R18:R27" si="11">O18^2</f>
        <v>0</v>
      </c>
      <c r="S18">
        <f t="shared" ref="S18:S27" si="12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3">ABS(G19-K19)</f>
        <v>1</v>
      </c>
      <c r="O19">
        <f t="shared" si="9"/>
        <v>2</v>
      </c>
      <c r="P19">
        <f t="shared" si="10"/>
        <v>0</v>
      </c>
      <c r="Q19">
        <f t="shared" ref="Q19:Q27" si="14">N19^2</f>
        <v>1</v>
      </c>
      <c r="R19">
        <f t="shared" si="11"/>
        <v>4</v>
      </c>
      <c r="S19">
        <f t="shared" si="12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3"/>
        <v>5</v>
      </c>
      <c r="O20">
        <f t="shared" si="9"/>
        <v>3</v>
      </c>
      <c r="P20">
        <f t="shared" si="10"/>
        <v>0</v>
      </c>
      <c r="Q20">
        <f t="shared" si="14"/>
        <v>25</v>
      </c>
      <c r="R20">
        <f t="shared" si="11"/>
        <v>9</v>
      </c>
      <c r="S20">
        <f t="shared" si="12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3"/>
        <v>4</v>
      </c>
      <c r="O21">
        <f t="shared" si="9"/>
        <v>2</v>
      </c>
      <c r="P21">
        <f t="shared" si="10"/>
        <v>1</v>
      </c>
      <c r="Q21">
        <f t="shared" si="14"/>
        <v>16</v>
      </c>
      <c r="R21">
        <f t="shared" si="11"/>
        <v>4</v>
      </c>
      <c r="S21">
        <f t="shared" si="12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3"/>
        <v>2</v>
      </c>
      <c r="O22">
        <f t="shared" si="9"/>
        <v>0</v>
      </c>
      <c r="P22">
        <f t="shared" si="10"/>
        <v>1</v>
      </c>
      <c r="Q22">
        <f t="shared" si="14"/>
        <v>4</v>
      </c>
      <c r="R22">
        <f t="shared" si="11"/>
        <v>0</v>
      </c>
      <c r="S22">
        <f t="shared" si="12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3"/>
        <v>2</v>
      </c>
      <c r="O23">
        <f t="shared" si="9"/>
        <v>4</v>
      </c>
      <c r="P23">
        <f t="shared" si="10"/>
        <v>1</v>
      </c>
      <c r="Q23">
        <f t="shared" si="14"/>
        <v>4</v>
      </c>
      <c r="R23">
        <f t="shared" si="11"/>
        <v>16</v>
      </c>
      <c r="S23">
        <f t="shared" si="12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3"/>
        <v>12</v>
      </c>
      <c r="O24">
        <f t="shared" si="9"/>
        <v>4</v>
      </c>
      <c r="P24">
        <f t="shared" si="10"/>
        <v>2</v>
      </c>
      <c r="Q24">
        <f t="shared" si="14"/>
        <v>144</v>
      </c>
      <c r="R24">
        <f t="shared" si="11"/>
        <v>16</v>
      </c>
      <c r="S24">
        <f t="shared" si="12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3"/>
        <v>2</v>
      </c>
      <c r="O25">
        <f t="shared" si="9"/>
        <v>2</v>
      </c>
      <c r="P25">
        <f t="shared" si="10"/>
        <v>3</v>
      </c>
      <c r="Q25">
        <f t="shared" si="14"/>
        <v>4</v>
      </c>
      <c r="R25">
        <f t="shared" si="11"/>
        <v>4</v>
      </c>
      <c r="S25">
        <f t="shared" si="12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3"/>
        <v>2</v>
      </c>
      <c r="O26">
        <f t="shared" si="9"/>
        <v>0</v>
      </c>
      <c r="P26">
        <f t="shared" si="10"/>
        <v>1</v>
      </c>
      <c r="Q26">
        <f t="shared" si="14"/>
        <v>4</v>
      </c>
      <c r="R26">
        <f t="shared" si="11"/>
        <v>0</v>
      </c>
      <c r="S26">
        <f t="shared" si="12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3"/>
        <v>6</v>
      </c>
      <c r="O27">
        <f t="shared" si="9"/>
        <v>5</v>
      </c>
      <c r="P27">
        <f t="shared" si="10"/>
        <v>0</v>
      </c>
      <c r="Q27">
        <f t="shared" si="14"/>
        <v>36</v>
      </c>
      <c r="R27">
        <f t="shared" si="11"/>
        <v>25</v>
      </c>
      <c r="S27">
        <f t="shared" si="12"/>
        <v>0</v>
      </c>
    </row>
    <row r="28" spans="1:19">
      <c r="N28">
        <f t="shared" ref="N28:S28" si="15">AVERAGE(N18:N27)</f>
        <v>3.6</v>
      </c>
      <c r="O28">
        <f t="shared" si="15"/>
        <v>2.2000000000000002</v>
      </c>
      <c r="P28">
        <f t="shared" si="15"/>
        <v>1</v>
      </c>
      <c r="Q28">
        <f t="shared" si="15"/>
        <v>23.8</v>
      </c>
      <c r="R28">
        <f t="shared" si="15"/>
        <v>7.8</v>
      </c>
      <c r="S28">
        <f t="shared" si="15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5" t="s">
        <v>58</v>
      </c>
      <c r="C1" s="25"/>
      <c r="D1" s="25" t="s">
        <v>59</v>
      </c>
      <c r="E1" s="25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FG_RGB_Trance</vt:lpstr>
      <vt:lpstr>ColorLumi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2026-06-28T09:03:29Z</dcterms:modified>
</cp:coreProperties>
</file>