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1_{58B05B98-F478-4B94-8A02-26EF3A52301D}" xr6:coauthVersionLast="47" xr6:coauthVersionMax="47" xr10:uidLastSave="{00000000-0000-0000-0000-000000000000}"/>
  <bookViews>
    <workbookView xWindow="-96" yWindow="0" windowWidth="11712" windowHeight="12336" firstSheet="2" activeTab="3" xr2:uid="{00000000-000D-0000-FFFF-FFFF00000000}"/>
  </bookViews>
  <sheets>
    <sheet name="FG_RGB_Trance" sheetId="8" r:id="rId1"/>
    <sheet name="FG補正OFF" sheetId="6" r:id="rId2"/>
    <sheet name="FGDisplay" sheetId="2" r:id="rId3"/>
    <sheet name="画素値固定" sheetId="9" r:id="rId4"/>
    <sheet name="BG_RGB_Trance" sheetId="7" r:id="rId5"/>
    <sheet name="BGDisplay" sheetId="1" r:id="rId6"/>
    <sheet name="FGLUMI" sheetId="5" r:id="rId7"/>
    <sheet name="BGLUMI" sheetId="3" r:id="rId8"/>
    <sheet name="BG補正OFF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9" l="1"/>
  <c r="D18" i="9"/>
  <c r="E18" i="9"/>
  <c r="F18" i="9"/>
  <c r="G18" i="9"/>
  <c r="H18" i="9"/>
  <c r="I18" i="9"/>
  <c r="J18" i="9"/>
  <c r="K18" i="9"/>
  <c r="L18" i="9"/>
  <c r="C19" i="9"/>
  <c r="D19" i="9"/>
  <c r="E19" i="9"/>
  <c r="F19" i="9"/>
  <c r="G19" i="9"/>
  <c r="H19" i="9"/>
  <c r="I19" i="9"/>
  <c r="J19" i="9"/>
  <c r="K19" i="9"/>
  <c r="L19" i="9"/>
  <c r="B19" i="9"/>
  <c r="B18" i="9"/>
  <c r="C8" i="9"/>
  <c r="D8" i="9"/>
  <c r="E8" i="9"/>
  <c r="F8" i="9"/>
  <c r="G8" i="9"/>
  <c r="H8" i="9"/>
  <c r="C9" i="9"/>
  <c r="D9" i="9"/>
  <c r="E9" i="9"/>
  <c r="F9" i="9"/>
  <c r="G9" i="9"/>
  <c r="H9" i="9"/>
  <c r="B9" i="9"/>
  <c r="B8" i="9"/>
  <c r="P27" i="8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O28" i="8" l="1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<sst xmlns="http://schemas.openxmlformats.org/spreadsheetml/2006/main" count="301" uniqueCount="134">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</sst>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81" formatCode="0.00_ 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S31"/>
  <sheetViews>
    <sheetView topLeftCell="I10" zoomScale="93" workbookViewId="0">
      <selection activeCell="M18" sqref="M18"/>
    </sheetView>
  </sheetViews>
  <sheetFormatPr defaultRowHeight="18"/>
  <sheetData>
    <row r="1" spans="1:19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</row>
    <row r="3" spans="1:19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</row>
    <row r="4" spans="1:19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</row>
    <row r="5" spans="1:19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</row>
    <row r="6" spans="1:19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</row>
    <row r="7" spans="1:19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</row>
    <row r="8" spans="1:19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</row>
    <row r="9" spans="1:19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</row>
    <row r="10" spans="1:19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</row>
    <row r="11" spans="1:19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19">
      <c r="A12" t="s">
        <v>86</v>
      </c>
      <c r="N12">
        <f t="shared" ref="N12:S12" si="6">AVERAGE(N2:N11)</f>
        <v>2.2000000000000002</v>
      </c>
      <c r="O12">
        <f t="shared" si="6"/>
        <v>0.8</v>
      </c>
      <c r="P12">
        <f t="shared" si="6"/>
        <v>1.7</v>
      </c>
      <c r="Q12">
        <f t="shared" si="6"/>
        <v>16</v>
      </c>
      <c r="R12">
        <f t="shared" si="6"/>
        <v>1.4</v>
      </c>
      <c r="S12">
        <f t="shared" si="6"/>
        <v>3.7</v>
      </c>
    </row>
    <row r="13" spans="1:19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7">ABS(H18-L18)</f>
        <v>0</v>
      </c>
      <c r="P18">
        <f t="shared" ref="P18:P27" si="8">ABS(I18-M18)</f>
        <v>0</v>
      </c>
      <c r="Q18">
        <f>N18^2</f>
        <v>9</v>
      </c>
      <c r="R18">
        <f t="shared" ref="R18:R27" si="9">O18^2</f>
        <v>0</v>
      </c>
      <c r="S18">
        <f t="shared" ref="S18:S27" si="10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1">ABS(G19-K19)</f>
        <v>2</v>
      </c>
      <c r="O19">
        <f t="shared" si="7"/>
        <v>1</v>
      </c>
      <c r="P19">
        <f t="shared" si="8"/>
        <v>0</v>
      </c>
      <c r="Q19">
        <f t="shared" ref="Q19:Q27" si="12">N19^2</f>
        <v>4</v>
      </c>
      <c r="R19">
        <f t="shared" si="9"/>
        <v>1</v>
      </c>
      <c r="S19">
        <f t="shared" si="10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1"/>
        <v>1</v>
      </c>
      <c r="O20">
        <f t="shared" si="7"/>
        <v>0</v>
      </c>
      <c r="P20">
        <f t="shared" si="8"/>
        <v>2</v>
      </c>
      <c r="Q20">
        <f t="shared" si="12"/>
        <v>1</v>
      </c>
      <c r="R20">
        <f t="shared" si="9"/>
        <v>0</v>
      </c>
      <c r="S20">
        <f t="shared" si="10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1"/>
        <v>3</v>
      </c>
      <c r="O21">
        <f t="shared" si="7"/>
        <v>2</v>
      </c>
      <c r="P21">
        <f t="shared" si="8"/>
        <v>2</v>
      </c>
      <c r="Q21">
        <f t="shared" si="12"/>
        <v>9</v>
      </c>
      <c r="R21">
        <f t="shared" si="9"/>
        <v>4</v>
      </c>
      <c r="S21">
        <f t="shared" si="10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1"/>
        <v>1</v>
      </c>
      <c r="O22">
        <f t="shared" si="7"/>
        <v>0</v>
      </c>
      <c r="P22">
        <f t="shared" si="8"/>
        <v>0</v>
      </c>
      <c r="Q22">
        <f t="shared" si="12"/>
        <v>1</v>
      </c>
      <c r="R22">
        <f t="shared" si="9"/>
        <v>0</v>
      </c>
      <c r="S22">
        <f t="shared" si="10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1"/>
        <v>0</v>
      </c>
      <c r="O23">
        <f t="shared" si="7"/>
        <v>0</v>
      </c>
      <c r="P23">
        <f t="shared" si="8"/>
        <v>0</v>
      </c>
      <c r="Q23">
        <f t="shared" si="12"/>
        <v>0</v>
      </c>
      <c r="R23">
        <f t="shared" si="9"/>
        <v>0</v>
      </c>
      <c r="S23">
        <f t="shared" si="10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1"/>
        <v>12</v>
      </c>
      <c r="O24">
        <f t="shared" si="7"/>
        <v>1</v>
      </c>
      <c r="P24">
        <f t="shared" si="8"/>
        <v>1</v>
      </c>
      <c r="Q24">
        <f t="shared" si="12"/>
        <v>144</v>
      </c>
      <c r="R24">
        <f t="shared" si="9"/>
        <v>1</v>
      </c>
      <c r="S24">
        <f t="shared" si="10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1"/>
        <v>1</v>
      </c>
      <c r="O25">
        <f t="shared" si="7"/>
        <v>0</v>
      </c>
      <c r="P25">
        <f t="shared" si="8"/>
        <v>1</v>
      </c>
      <c r="Q25">
        <f t="shared" si="12"/>
        <v>1</v>
      </c>
      <c r="R25">
        <f t="shared" si="9"/>
        <v>0</v>
      </c>
      <c r="S25">
        <f t="shared" si="10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1"/>
        <v>0</v>
      </c>
      <c r="O26">
        <f t="shared" si="7"/>
        <v>0</v>
      </c>
      <c r="P26">
        <f t="shared" si="8"/>
        <v>1</v>
      </c>
      <c r="Q26">
        <f t="shared" si="12"/>
        <v>0</v>
      </c>
      <c r="R26">
        <f t="shared" si="9"/>
        <v>0</v>
      </c>
      <c r="S26">
        <f t="shared" si="10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1"/>
        <v>1</v>
      </c>
      <c r="O27">
        <f t="shared" si="7"/>
        <v>0</v>
      </c>
      <c r="P27">
        <f t="shared" si="8"/>
        <v>1</v>
      </c>
      <c r="Q27">
        <f t="shared" si="12"/>
        <v>1</v>
      </c>
      <c r="R27">
        <f t="shared" si="9"/>
        <v>0</v>
      </c>
      <c r="S27">
        <f t="shared" si="10"/>
        <v>1</v>
      </c>
    </row>
    <row r="28" spans="1:19">
      <c r="N28">
        <f t="shared" ref="N28:S28" si="13">AVERAGE(N18:N27)</f>
        <v>2.4</v>
      </c>
      <c r="O28">
        <f t="shared" si="13"/>
        <v>0.4</v>
      </c>
      <c r="P28">
        <f t="shared" si="13"/>
        <v>0.8</v>
      </c>
      <c r="Q28">
        <f t="shared" si="13"/>
        <v>17</v>
      </c>
      <c r="R28">
        <f t="shared" si="13"/>
        <v>0.6</v>
      </c>
      <c r="S28">
        <f t="shared" si="13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0" t="s">
        <v>58</v>
      </c>
      <c r="C1" s="20"/>
      <c r="D1" s="20" t="s">
        <v>59</v>
      </c>
      <c r="E1" s="20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9"/>
  <sheetViews>
    <sheetView showGridLines="0" tabSelected="1" zoomScale="44" workbookViewId="0">
      <selection activeCell="A12" sqref="A12:L19"/>
    </sheetView>
  </sheetViews>
  <sheetFormatPr defaultRowHeight="18"/>
  <cols>
    <col min="1" max="1" width="19.69921875" customWidth="1"/>
    <col min="2" max="12" width="14.19921875" style="19" customWidth="1"/>
  </cols>
  <sheetData>
    <row r="1" spans="1:12">
      <c r="A1" t="s">
        <v>115</v>
      </c>
    </row>
    <row r="2" spans="1:12">
      <c r="A2" s="16" t="s">
        <v>124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6" t="s">
        <v>123</v>
      </c>
      <c r="I2" s="21"/>
      <c r="J2" s="21"/>
      <c r="K2" s="21"/>
      <c r="L2" s="21"/>
    </row>
    <row r="3" spans="1:12">
      <c r="A3" s="22">
        <v>46098</v>
      </c>
      <c r="B3" s="21">
        <v>30</v>
      </c>
      <c r="C3" s="21">
        <v>25</v>
      </c>
      <c r="D3" s="21">
        <v>19</v>
      </c>
      <c r="E3" s="21">
        <v>15</v>
      </c>
      <c r="F3" s="21">
        <v>9</v>
      </c>
      <c r="G3" s="21">
        <v>6</v>
      </c>
      <c r="H3" s="21">
        <v>0</v>
      </c>
      <c r="I3" s="21"/>
      <c r="J3" s="21"/>
      <c r="K3" s="21"/>
      <c r="L3" s="21"/>
    </row>
    <row r="4" spans="1:12">
      <c r="A4" s="22">
        <v>46103</v>
      </c>
      <c r="B4" s="21">
        <v>30</v>
      </c>
      <c r="C4" s="21">
        <v>26</v>
      </c>
      <c r="D4" s="21">
        <v>20</v>
      </c>
      <c r="E4" s="21">
        <v>16</v>
      </c>
      <c r="F4" s="21">
        <v>9</v>
      </c>
      <c r="G4" s="21">
        <v>6</v>
      </c>
      <c r="H4" s="21">
        <v>0</v>
      </c>
      <c r="I4" s="21"/>
      <c r="J4" s="21"/>
      <c r="K4" s="21"/>
      <c r="L4" s="21"/>
    </row>
    <row r="5" spans="1:12">
      <c r="A5" s="22">
        <v>46105</v>
      </c>
      <c r="B5" s="21">
        <v>29</v>
      </c>
      <c r="C5" s="21">
        <v>25</v>
      </c>
      <c r="D5" s="21">
        <v>19</v>
      </c>
      <c r="E5" s="21">
        <v>16</v>
      </c>
      <c r="F5" s="21">
        <v>9</v>
      </c>
      <c r="G5" s="21">
        <v>6</v>
      </c>
      <c r="H5" s="21">
        <v>0</v>
      </c>
      <c r="I5" s="21"/>
      <c r="J5" s="21"/>
      <c r="K5" s="21"/>
      <c r="L5" s="21"/>
    </row>
    <row r="6" spans="1:12">
      <c r="A6" s="22">
        <v>46108</v>
      </c>
      <c r="B6" s="21">
        <v>31</v>
      </c>
      <c r="C6" s="21">
        <v>27</v>
      </c>
      <c r="D6" s="21">
        <v>21</v>
      </c>
      <c r="E6" s="21">
        <v>17</v>
      </c>
      <c r="F6" s="21">
        <v>11</v>
      </c>
      <c r="G6" s="21">
        <v>7</v>
      </c>
      <c r="H6" s="21">
        <v>0</v>
      </c>
      <c r="I6" s="21"/>
      <c r="J6" s="21"/>
      <c r="K6" s="21"/>
      <c r="L6" s="21"/>
    </row>
    <row r="7" spans="1:12">
      <c r="A7" s="23">
        <v>46112</v>
      </c>
      <c r="B7" s="14">
        <v>29</v>
      </c>
      <c r="C7" s="14">
        <v>25</v>
      </c>
      <c r="D7" s="14">
        <v>19</v>
      </c>
      <c r="E7" s="14">
        <v>15</v>
      </c>
      <c r="F7" s="14">
        <v>9</v>
      </c>
      <c r="G7" s="14">
        <v>5</v>
      </c>
      <c r="H7" s="14">
        <v>0</v>
      </c>
      <c r="I7" s="21"/>
      <c r="J7" s="21"/>
      <c r="K7" s="21"/>
      <c r="L7" s="21"/>
    </row>
    <row r="8" spans="1:12">
      <c r="A8" s="21" t="s">
        <v>113</v>
      </c>
      <c r="B8" s="21">
        <f>AVERAGE(B3:B7)</f>
        <v>29.8</v>
      </c>
      <c r="C8" s="21">
        <f t="shared" ref="C8:H8" si="0">AVERAGE(C3:C7)</f>
        <v>25.6</v>
      </c>
      <c r="D8" s="21">
        <f t="shared" si="0"/>
        <v>19.600000000000001</v>
      </c>
      <c r="E8" s="21">
        <f t="shared" si="0"/>
        <v>15.8</v>
      </c>
      <c r="F8" s="21">
        <f t="shared" si="0"/>
        <v>9.4</v>
      </c>
      <c r="G8" s="21">
        <f t="shared" si="0"/>
        <v>6</v>
      </c>
      <c r="H8" s="21">
        <f t="shared" si="0"/>
        <v>0</v>
      </c>
      <c r="I8" s="21"/>
      <c r="J8" s="21"/>
      <c r="K8" s="21"/>
      <c r="L8" s="21"/>
    </row>
    <row r="9" spans="1:12">
      <c r="A9" s="14" t="s">
        <v>114</v>
      </c>
      <c r="B9" s="24">
        <f>_xlfn.STDEV.P(B3:B7)</f>
        <v>0.74833147735478822</v>
      </c>
      <c r="C9" s="24">
        <f t="shared" ref="C9:H9" si="1">_xlfn.STDEV.P(C3:C7)</f>
        <v>0.79999999999999993</v>
      </c>
      <c r="D9" s="24">
        <f t="shared" si="1"/>
        <v>0.79999999999999993</v>
      </c>
      <c r="E9" s="24">
        <f t="shared" si="1"/>
        <v>0.74833147735478822</v>
      </c>
      <c r="F9" s="24">
        <f t="shared" si="1"/>
        <v>0.79999999999999993</v>
      </c>
      <c r="G9" s="24">
        <f t="shared" si="1"/>
        <v>0.63245553203367588</v>
      </c>
      <c r="H9" s="24">
        <f t="shared" si="1"/>
        <v>0</v>
      </c>
      <c r="I9" s="21"/>
      <c r="J9" s="21"/>
      <c r="K9" s="21"/>
      <c r="L9" s="21"/>
    </row>
    <row r="10" spans="1:1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</row>
    <row r="11" spans="1:12">
      <c r="A11" s="21" t="s">
        <v>116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</row>
    <row r="12" spans="1:12">
      <c r="A12" s="16" t="s">
        <v>124</v>
      </c>
      <c r="B12" s="16" t="s">
        <v>125</v>
      </c>
      <c r="C12" s="16" t="s">
        <v>126</v>
      </c>
      <c r="D12" s="16" t="s">
        <v>127</v>
      </c>
      <c r="E12" s="16" t="s">
        <v>119</v>
      </c>
      <c r="F12" s="16" t="s">
        <v>128</v>
      </c>
      <c r="G12" s="16" t="s">
        <v>129</v>
      </c>
      <c r="H12" s="16" t="s">
        <v>130</v>
      </c>
      <c r="I12" s="16" t="s">
        <v>131</v>
      </c>
      <c r="J12" s="16" t="s">
        <v>132</v>
      </c>
      <c r="K12" s="16" t="s">
        <v>133</v>
      </c>
      <c r="L12" s="16" t="s">
        <v>123</v>
      </c>
    </row>
    <row r="13" spans="1:12">
      <c r="A13" s="22">
        <v>46098</v>
      </c>
      <c r="B13" s="21">
        <v>97</v>
      </c>
      <c r="C13" s="21">
        <v>87</v>
      </c>
      <c r="D13" s="21">
        <v>77</v>
      </c>
      <c r="E13" s="21">
        <v>67</v>
      </c>
      <c r="F13" s="21">
        <v>58</v>
      </c>
      <c r="G13" s="21">
        <v>49</v>
      </c>
      <c r="H13" s="21">
        <v>38</v>
      </c>
      <c r="I13" s="21">
        <v>29</v>
      </c>
      <c r="J13" s="21">
        <v>19</v>
      </c>
      <c r="K13" s="21">
        <v>10</v>
      </c>
      <c r="L13" s="21">
        <v>0</v>
      </c>
    </row>
    <row r="14" spans="1:12">
      <c r="A14" s="22">
        <v>46103</v>
      </c>
      <c r="B14" s="21">
        <v>99</v>
      </c>
      <c r="C14" s="21">
        <v>89</v>
      </c>
      <c r="D14" s="21">
        <v>79</v>
      </c>
      <c r="E14" s="21">
        <v>69</v>
      </c>
      <c r="F14" s="21">
        <v>60</v>
      </c>
      <c r="G14" s="21">
        <v>50</v>
      </c>
      <c r="H14" s="21">
        <v>39</v>
      </c>
      <c r="I14" s="21">
        <v>30</v>
      </c>
      <c r="J14" s="21">
        <v>20</v>
      </c>
      <c r="K14" s="21">
        <v>10</v>
      </c>
      <c r="L14" s="21">
        <v>0</v>
      </c>
    </row>
    <row r="15" spans="1:12">
      <c r="A15" s="22">
        <v>46105</v>
      </c>
      <c r="B15" s="21">
        <v>97</v>
      </c>
      <c r="C15" s="21">
        <v>87</v>
      </c>
      <c r="D15" s="21">
        <v>78</v>
      </c>
      <c r="E15" s="21">
        <v>67</v>
      </c>
      <c r="F15" s="21">
        <v>58</v>
      </c>
      <c r="G15" s="21">
        <v>49</v>
      </c>
      <c r="H15" s="21">
        <v>38</v>
      </c>
      <c r="I15" s="21">
        <v>29</v>
      </c>
      <c r="J15" s="21">
        <v>19</v>
      </c>
      <c r="K15" s="21">
        <v>9</v>
      </c>
      <c r="L15" s="21">
        <v>0</v>
      </c>
    </row>
    <row r="16" spans="1:12">
      <c r="A16" s="22">
        <v>46108</v>
      </c>
      <c r="B16" s="21">
        <v>102</v>
      </c>
      <c r="C16" s="21">
        <v>94</v>
      </c>
      <c r="D16" s="21">
        <v>84</v>
      </c>
      <c r="E16" s="21">
        <v>74</v>
      </c>
      <c r="F16" s="21">
        <v>64</v>
      </c>
      <c r="G16" s="21">
        <v>55</v>
      </c>
      <c r="H16" s="21">
        <v>44</v>
      </c>
      <c r="I16" s="21">
        <v>34</v>
      </c>
      <c r="J16" s="21">
        <v>23</v>
      </c>
      <c r="K16" s="21">
        <v>11</v>
      </c>
      <c r="L16" s="21">
        <v>0</v>
      </c>
    </row>
    <row r="17" spans="1:12">
      <c r="A17" s="23">
        <v>46112</v>
      </c>
      <c r="B17" s="14">
        <v>98</v>
      </c>
      <c r="C17" s="14">
        <v>88</v>
      </c>
      <c r="D17" s="14">
        <v>77</v>
      </c>
      <c r="E17" s="14">
        <v>67</v>
      </c>
      <c r="F17" s="14">
        <v>59</v>
      </c>
      <c r="G17" s="14">
        <v>49</v>
      </c>
      <c r="H17" s="14">
        <v>38</v>
      </c>
      <c r="I17" s="14">
        <v>29</v>
      </c>
      <c r="J17" s="14">
        <v>19</v>
      </c>
      <c r="K17" s="14">
        <v>10</v>
      </c>
      <c r="L17" s="14">
        <v>0</v>
      </c>
    </row>
    <row r="18" spans="1:12">
      <c r="A18" s="21" t="s">
        <v>113</v>
      </c>
      <c r="B18" s="21">
        <f>AVERAGE(B13:B17)</f>
        <v>98.6</v>
      </c>
      <c r="C18" s="21">
        <f t="shared" ref="C18:L18" si="2">AVERAGE(C13:C17)</f>
        <v>89</v>
      </c>
      <c r="D18" s="21">
        <f t="shared" si="2"/>
        <v>79</v>
      </c>
      <c r="E18" s="21">
        <f t="shared" si="2"/>
        <v>68.8</v>
      </c>
      <c r="F18" s="21">
        <f t="shared" si="2"/>
        <v>59.8</v>
      </c>
      <c r="G18" s="21">
        <f t="shared" si="2"/>
        <v>50.4</v>
      </c>
      <c r="H18" s="21">
        <f t="shared" si="2"/>
        <v>39.4</v>
      </c>
      <c r="I18" s="21">
        <f t="shared" si="2"/>
        <v>30.2</v>
      </c>
      <c r="J18" s="21">
        <f t="shared" si="2"/>
        <v>20</v>
      </c>
      <c r="K18" s="21">
        <f t="shared" si="2"/>
        <v>10</v>
      </c>
      <c r="L18" s="21">
        <f t="shared" si="2"/>
        <v>0</v>
      </c>
    </row>
    <row r="19" spans="1:12">
      <c r="A19" s="14" t="s">
        <v>114</v>
      </c>
      <c r="B19" s="24">
        <f>_xlfn.STDEV.P(B13:B17)</f>
        <v>1.8547236990991407</v>
      </c>
      <c r="C19" s="24">
        <f t="shared" ref="C19:L19" si="3">_xlfn.STDEV.P(C13:C17)</f>
        <v>2.6076809620810595</v>
      </c>
      <c r="D19" s="24">
        <f t="shared" si="3"/>
        <v>2.6076809620810595</v>
      </c>
      <c r="E19" s="24">
        <f t="shared" si="3"/>
        <v>2.7129319932501073</v>
      </c>
      <c r="F19" s="24">
        <f t="shared" si="3"/>
        <v>2.2271057451320089</v>
      </c>
      <c r="G19" s="24">
        <f t="shared" si="3"/>
        <v>2.3323807579381204</v>
      </c>
      <c r="H19" s="24">
        <f t="shared" si="3"/>
        <v>2.3323807579381204</v>
      </c>
      <c r="I19" s="24">
        <f t="shared" si="3"/>
        <v>1.9390719429665315</v>
      </c>
      <c r="J19" s="24">
        <f t="shared" si="3"/>
        <v>1.5491933384829668</v>
      </c>
      <c r="K19" s="24">
        <f t="shared" si="3"/>
        <v>0.63245553203367588</v>
      </c>
      <c r="L19" s="24">
        <f t="shared" si="3"/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S31"/>
  <sheetViews>
    <sheetView topLeftCell="H11" zoomScale="93" workbookViewId="0">
      <selection activeCell="M28" sqref="M28"/>
    </sheetView>
  </sheetViews>
  <sheetFormatPr defaultRowHeight="18"/>
  <cols>
    <col min="6" max="6" width="8.796875" style="17"/>
    <col min="10" max="10" width="8.796875" style="18"/>
  </cols>
  <sheetData>
    <row r="1" spans="1:19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</row>
    <row r="3" spans="1:19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</row>
    <row r="4" spans="1:19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</row>
    <row r="5" spans="1:19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</row>
    <row r="6" spans="1:19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</row>
    <row r="7" spans="1:19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</row>
    <row r="8" spans="1:19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</row>
    <row r="9" spans="1:19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</row>
    <row r="10" spans="1:19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</row>
    <row r="11" spans="1:19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19">
      <c r="A12" t="s">
        <v>86</v>
      </c>
      <c r="N12">
        <f t="shared" ref="N12:S12" si="5">AVERAGE(N2:N11)</f>
        <v>3.5</v>
      </c>
      <c r="O12">
        <f t="shared" si="5"/>
        <v>2.2999999999999998</v>
      </c>
      <c r="P12">
        <f t="shared" si="5"/>
        <v>0.8</v>
      </c>
      <c r="Q12">
        <f t="shared" si="5"/>
        <v>27.3</v>
      </c>
      <c r="R12">
        <f t="shared" si="5"/>
        <v>6.9</v>
      </c>
      <c r="S12">
        <f t="shared" si="5"/>
        <v>1.2</v>
      </c>
    </row>
    <row r="13" spans="1:19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6">ABS(H18-L18)</f>
        <v>0</v>
      </c>
      <c r="P18">
        <f t="shared" ref="P18:P27" si="7">ABS(I18-M18)</f>
        <v>1</v>
      </c>
      <c r="Q18">
        <f>N18^2</f>
        <v>0</v>
      </c>
      <c r="R18">
        <f t="shared" ref="R18:R27" si="8">O18^2</f>
        <v>0</v>
      </c>
      <c r="S18">
        <f t="shared" ref="S18:S27" si="9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0">ABS(G19-K19)</f>
        <v>1</v>
      </c>
      <c r="O19">
        <f t="shared" si="6"/>
        <v>2</v>
      </c>
      <c r="P19">
        <f t="shared" si="7"/>
        <v>0</v>
      </c>
      <c r="Q19">
        <f t="shared" ref="Q19:Q27" si="11">N19^2</f>
        <v>1</v>
      </c>
      <c r="R19">
        <f t="shared" si="8"/>
        <v>4</v>
      </c>
      <c r="S19">
        <f t="shared" si="9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0"/>
        <v>5</v>
      </c>
      <c r="O20">
        <f t="shared" si="6"/>
        <v>3</v>
      </c>
      <c r="P20">
        <f t="shared" si="7"/>
        <v>0</v>
      </c>
      <c r="Q20">
        <f t="shared" si="11"/>
        <v>25</v>
      </c>
      <c r="R20">
        <f t="shared" si="8"/>
        <v>9</v>
      </c>
      <c r="S20">
        <f t="shared" si="9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0"/>
        <v>4</v>
      </c>
      <c r="O21">
        <f t="shared" si="6"/>
        <v>2</v>
      </c>
      <c r="P21">
        <f t="shared" si="7"/>
        <v>1</v>
      </c>
      <c r="Q21">
        <f t="shared" si="11"/>
        <v>16</v>
      </c>
      <c r="R21">
        <f t="shared" si="8"/>
        <v>4</v>
      </c>
      <c r="S21">
        <f t="shared" si="9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0"/>
        <v>2</v>
      </c>
      <c r="O22">
        <f t="shared" si="6"/>
        <v>0</v>
      </c>
      <c r="P22">
        <f t="shared" si="7"/>
        <v>1</v>
      </c>
      <c r="Q22">
        <f t="shared" si="11"/>
        <v>4</v>
      </c>
      <c r="R22">
        <f t="shared" si="8"/>
        <v>0</v>
      </c>
      <c r="S22">
        <f t="shared" si="9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0"/>
        <v>2</v>
      </c>
      <c r="O23">
        <f t="shared" si="6"/>
        <v>4</v>
      </c>
      <c r="P23">
        <f t="shared" si="7"/>
        <v>1</v>
      </c>
      <c r="Q23">
        <f t="shared" si="11"/>
        <v>4</v>
      </c>
      <c r="R23">
        <f t="shared" si="8"/>
        <v>16</v>
      </c>
      <c r="S23">
        <f t="shared" si="9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0"/>
        <v>12</v>
      </c>
      <c r="O24">
        <f t="shared" si="6"/>
        <v>4</v>
      </c>
      <c r="P24">
        <f t="shared" si="7"/>
        <v>2</v>
      </c>
      <c r="Q24">
        <f t="shared" si="11"/>
        <v>144</v>
      </c>
      <c r="R24">
        <f t="shared" si="8"/>
        <v>16</v>
      </c>
      <c r="S24">
        <f t="shared" si="9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0"/>
        <v>2</v>
      </c>
      <c r="O25">
        <f t="shared" si="6"/>
        <v>2</v>
      </c>
      <c r="P25">
        <f t="shared" si="7"/>
        <v>3</v>
      </c>
      <c r="Q25">
        <f t="shared" si="11"/>
        <v>4</v>
      </c>
      <c r="R25">
        <f t="shared" si="8"/>
        <v>4</v>
      </c>
      <c r="S25">
        <f t="shared" si="9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0"/>
        <v>2</v>
      </c>
      <c r="O26">
        <f t="shared" si="6"/>
        <v>0</v>
      </c>
      <c r="P26">
        <f t="shared" si="7"/>
        <v>1</v>
      </c>
      <c r="Q26">
        <f t="shared" si="11"/>
        <v>4</v>
      </c>
      <c r="R26">
        <f t="shared" si="8"/>
        <v>0</v>
      </c>
      <c r="S26">
        <f t="shared" si="9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0"/>
        <v>6</v>
      </c>
      <c r="O27">
        <f t="shared" si="6"/>
        <v>5</v>
      </c>
      <c r="P27">
        <f t="shared" si="7"/>
        <v>0</v>
      </c>
      <c r="Q27">
        <f t="shared" si="11"/>
        <v>36</v>
      </c>
      <c r="R27">
        <f t="shared" si="8"/>
        <v>25</v>
      </c>
      <c r="S27">
        <f t="shared" si="9"/>
        <v>0</v>
      </c>
    </row>
    <row r="28" spans="1:19">
      <c r="N28">
        <f t="shared" ref="N28:S28" si="12">AVERAGE(N18:N27)</f>
        <v>3.6</v>
      </c>
      <c r="O28">
        <f t="shared" si="12"/>
        <v>2.2000000000000002</v>
      </c>
      <c r="P28">
        <f t="shared" si="12"/>
        <v>1</v>
      </c>
      <c r="Q28">
        <f t="shared" si="12"/>
        <v>23.8</v>
      </c>
      <c r="R28">
        <f t="shared" si="12"/>
        <v>7.8</v>
      </c>
      <c r="S28">
        <f t="shared" si="12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0" t="s">
        <v>58</v>
      </c>
      <c r="C1" s="20"/>
      <c r="D1" s="20" t="s">
        <v>59</v>
      </c>
      <c r="E1" s="20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FG_RGB_Trance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2026-03-31T02:00:06Z</dcterms:modified>
</cp:coreProperties>
</file>