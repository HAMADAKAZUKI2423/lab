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amaKazu\Desktop\GradSchool\lab\results\tables\DisplayBrightness\"/>
    </mc:Choice>
  </mc:AlternateContent>
  <xr:revisionPtr revIDLastSave="0" documentId="13_ncr:1_{79CC001A-DE68-4029-80C9-26739223474C}" xr6:coauthVersionLast="47" xr6:coauthVersionMax="47" xr10:uidLastSave="{00000000-0000-0000-0000-000000000000}"/>
  <bookViews>
    <workbookView xWindow="5856" yWindow="2724" windowWidth="17280" windowHeight="8880" firstSheet="2" activeTab="3" xr2:uid="{00000000-000D-0000-FFFF-FFFF00000000}"/>
  </bookViews>
  <sheets>
    <sheet name="FG_RGB_Trance" sheetId="8" r:id="rId1"/>
    <sheet name="FG補正OFF" sheetId="6" r:id="rId2"/>
    <sheet name="FGDisplay" sheetId="2" r:id="rId3"/>
    <sheet name="画素値固定" sheetId="9" r:id="rId4"/>
    <sheet name="BG_RGB_Trance" sheetId="7" r:id="rId5"/>
    <sheet name="BGDisplay" sheetId="1" r:id="rId6"/>
    <sheet name="FGLUMI" sheetId="5" r:id="rId7"/>
    <sheet name="BGLUMI" sheetId="3" r:id="rId8"/>
    <sheet name="BG補正OFF" sheetId="4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7" i="8" l="1"/>
  <c r="S27" i="8" s="1"/>
  <c r="O27" i="8"/>
  <c r="R27" i="8" s="1"/>
  <c r="N27" i="8"/>
  <c r="Q27" i="8" s="1"/>
  <c r="P26" i="8"/>
  <c r="S26" i="8" s="1"/>
  <c r="O26" i="8"/>
  <c r="R26" i="8" s="1"/>
  <c r="N26" i="8"/>
  <c r="Q26" i="8" s="1"/>
  <c r="P25" i="8"/>
  <c r="S25" i="8" s="1"/>
  <c r="O25" i="8"/>
  <c r="R25" i="8" s="1"/>
  <c r="N25" i="8"/>
  <c r="Q25" i="8" s="1"/>
  <c r="P24" i="8"/>
  <c r="S24" i="8" s="1"/>
  <c r="O24" i="8"/>
  <c r="R24" i="8" s="1"/>
  <c r="N24" i="8"/>
  <c r="Q24" i="8" s="1"/>
  <c r="P23" i="8"/>
  <c r="S23" i="8" s="1"/>
  <c r="O23" i="8"/>
  <c r="R23" i="8" s="1"/>
  <c r="N23" i="8"/>
  <c r="Q23" i="8" s="1"/>
  <c r="P22" i="8"/>
  <c r="S22" i="8" s="1"/>
  <c r="O22" i="8"/>
  <c r="R22" i="8" s="1"/>
  <c r="N22" i="8"/>
  <c r="Q22" i="8" s="1"/>
  <c r="P21" i="8"/>
  <c r="S21" i="8" s="1"/>
  <c r="O21" i="8"/>
  <c r="R21" i="8" s="1"/>
  <c r="N21" i="8"/>
  <c r="Q21" i="8" s="1"/>
  <c r="P20" i="8"/>
  <c r="S20" i="8" s="1"/>
  <c r="O20" i="8"/>
  <c r="R20" i="8" s="1"/>
  <c r="N20" i="8"/>
  <c r="Q20" i="8" s="1"/>
  <c r="P19" i="8"/>
  <c r="S19" i="8" s="1"/>
  <c r="O19" i="8"/>
  <c r="R19" i="8" s="1"/>
  <c r="N19" i="8"/>
  <c r="Q19" i="8" s="1"/>
  <c r="P18" i="8"/>
  <c r="O18" i="8"/>
  <c r="N18" i="8"/>
  <c r="Q18" i="8" s="1"/>
  <c r="P27" i="7"/>
  <c r="S27" i="7" s="1"/>
  <c r="O27" i="7"/>
  <c r="R27" i="7" s="1"/>
  <c r="N27" i="7"/>
  <c r="Q27" i="7" s="1"/>
  <c r="P26" i="7"/>
  <c r="S26" i="7" s="1"/>
  <c r="O26" i="7"/>
  <c r="R26" i="7" s="1"/>
  <c r="N26" i="7"/>
  <c r="Q26" i="7" s="1"/>
  <c r="P25" i="7"/>
  <c r="S25" i="7" s="1"/>
  <c r="O25" i="7"/>
  <c r="R25" i="7" s="1"/>
  <c r="N25" i="7"/>
  <c r="Q25" i="7" s="1"/>
  <c r="P24" i="7"/>
  <c r="S24" i="7" s="1"/>
  <c r="O24" i="7"/>
  <c r="R24" i="7" s="1"/>
  <c r="N24" i="7"/>
  <c r="Q24" i="7" s="1"/>
  <c r="P23" i="7"/>
  <c r="S23" i="7" s="1"/>
  <c r="O23" i="7"/>
  <c r="R23" i="7" s="1"/>
  <c r="N23" i="7"/>
  <c r="Q23" i="7" s="1"/>
  <c r="P22" i="7"/>
  <c r="S22" i="7" s="1"/>
  <c r="O22" i="7"/>
  <c r="R22" i="7" s="1"/>
  <c r="N22" i="7"/>
  <c r="Q22" i="7" s="1"/>
  <c r="P21" i="7"/>
  <c r="S21" i="7" s="1"/>
  <c r="O21" i="7"/>
  <c r="R21" i="7" s="1"/>
  <c r="N21" i="7"/>
  <c r="Q21" i="7" s="1"/>
  <c r="P20" i="7"/>
  <c r="S20" i="7" s="1"/>
  <c r="O20" i="7"/>
  <c r="R20" i="7" s="1"/>
  <c r="N20" i="7"/>
  <c r="Q20" i="7" s="1"/>
  <c r="P19" i="7"/>
  <c r="S19" i="7" s="1"/>
  <c r="O19" i="7"/>
  <c r="R19" i="7" s="1"/>
  <c r="N19" i="7"/>
  <c r="Q19" i="7" s="1"/>
  <c r="P18" i="7"/>
  <c r="O18" i="7"/>
  <c r="N18" i="7"/>
  <c r="Q3" i="8"/>
  <c r="R3" i="8"/>
  <c r="Q4" i="8"/>
  <c r="R4" i="8"/>
  <c r="S4" i="8"/>
  <c r="Q5" i="8"/>
  <c r="R5" i="8"/>
  <c r="Q6" i="8"/>
  <c r="R6" i="8"/>
  <c r="Q7" i="8"/>
  <c r="R7" i="8"/>
  <c r="Q8" i="8"/>
  <c r="R8" i="8"/>
  <c r="S8" i="8"/>
  <c r="Q9" i="8"/>
  <c r="Q10" i="8"/>
  <c r="R10" i="8"/>
  <c r="Q11" i="8"/>
  <c r="R11" i="8"/>
  <c r="S11" i="8"/>
  <c r="R2" i="8"/>
  <c r="Q2" i="8"/>
  <c r="N3" i="8"/>
  <c r="O3" i="8"/>
  <c r="P3" i="8"/>
  <c r="S3" i="8" s="1"/>
  <c r="N4" i="8"/>
  <c r="O4" i="8"/>
  <c r="P4" i="8"/>
  <c r="N5" i="8"/>
  <c r="O5" i="8"/>
  <c r="P5" i="8"/>
  <c r="S5" i="8" s="1"/>
  <c r="N6" i="8"/>
  <c r="O6" i="8"/>
  <c r="P6" i="8"/>
  <c r="S6" i="8" s="1"/>
  <c r="N7" i="8"/>
  <c r="O7" i="8"/>
  <c r="P7" i="8"/>
  <c r="S7" i="8" s="1"/>
  <c r="N8" i="8"/>
  <c r="O8" i="8"/>
  <c r="P8" i="8"/>
  <c r="N9" i="8"/>
  <c r="O9" i="8"/>
  <c r="R9" i="8" s="1"/>
  <c r="P9" i="8"/>
  <c r="S9" i="8" s="1"/>
  <c r="N10" i="8"/>
  <c r="O10" i="8"/>
  <c r="P10" i="8"/>
  <c r="S10" i="8" s="1"/>
  <c r="N11" i="8"/>
  <c r="O11" i="8"/>
  <c r="P11" i="8"/>
  <c r="O2" i="8"/>
  <c r="P2" i="8"/>
  <c r="S2" i="8" s="1"/>
  <c r="N2" i="8"/>
  <c r="N8" i="7"/>
  <c r="R13" i="7"/>
  <c r="S13" i="7"/>
  <c r="R12" i="7"/>
  <c r="S12" i="7"/>
  <c r="R2" i="7"/>
  <c r="S2" i="7"/>
  <c r="R3" i="7"/>
  <c r="S3" i="7"/>
  <c r="R4" i="7"/>
  <c r="S4" i="7"/>
  <c r="R5" i="7"/>
  <c r="S5" i="7"/>
  <c r="R6" i="7"/>
  <c r="S6" i="7"/>
  <c r="R7" i="7"/>
  <c r="S7" i="7"/>
  <c r="R8" i="7"/>
  <c r="S8" i="7"/>
  <c r="R9" i="7"/>
  <c r="S9" i="7"/>
  <c r="R10" i="7"/>
  <c r="S10" i="7"/>
  <c r="R11" i="7"/>
  <c r="S11" i="7"/>
  <c r="Q3" i="7"/>
  <c r="Q4" i="7"/>
  <c r="Q5" i="7"/>
  <c r="Q6" i="7"/>
  <c r="Q7" i="7"/>
  <c r="Q8" i="7"/>
  <c r="Q12" i="7" s="1"/>
  <c r="Q9" i="7"/>
  <c r="Q10" i="7"/>
  <c r="Q11" i="7"/>
  <c r="Q2" i="7"/>
  <c r="O12" i="7"/>
  <c r="P12" i="7"/>
  <c r="N12" i="7"/>
  <c r="N13" i="7" s="1"/>
  <c r="N3" i="7"/>
  <c r="O3" i="7"/>
  <c r="P3" i="7"/>
  <c r="N4" i="7"/>
  <c r="O4" i="7"/>
  <c r="P4" i="7"/>
  <c r="N5" i="7"/>
  <c r="O5" i="7"/>
  <c r="P5" i="7"/>
  <c r="N6" i="7"/>
  <c r="O6" i="7"/>
  <c r="P6" i="7"/>
  <c r="N7" i="7"/>
  <c r="O7" i="7"/>
  <c r="P7" i="7"/>
  <c r="O8" i="7"/>
  <c r="P8" i="7"/>
  <c r="N9" i="7"/>
  <c r="O9" i="7"/>
  <c r="P9" i="7"/>
  <c r="N10" i="7"/>
  <c r="O10" i="7"/>
  <c r="P10" i="7"/>
  <c r="N11" i="7"/>
  <c r="O11" i="7"/>
  <c r="P11" i="7"/>
  <c r="O2" i="7"/>
  <c r="P2" i="7"/>
  <c r="N2" i="7"/>
  <c r="N25" i="2"/>
  <c r="O25" i="2"/>
  <c r="P25" i="2"/>
  <c r="Q25" i="2"/>
  <c r="R25" i="2"/>
  <c r="S25" i="2"/>
  <c r="T25" i="2"/>
  <c r="M25" i="2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K29" i="1"/>
  <c r="L29" i="1"/>
  <c r="L9" i="1"/>
  <c r="K9" i="1"/>
  <c r="B21" i="1"/>
  <c r="C21" i="1"/>
  <c r="D21" i="1"/>
  <c r="E21" i="1"/>
  <c r="F21" i="1"/>
  <c r="G21" i="1"/>
  <c r="H21" i="1"/>
  <c r="I21" i="1"/>
  <c r="J21" i="1"/>
  <c r="I27" i="2"/>
  <c r="J27" i="2"/>
  <c r="H27" i="2"/>
  <c r="G27" i="2"/>
  <c r="F27" i="2"/>
  <c r="E27" i="2"/>
  <c r="D27" i="2"/>
  <c r="C27" i="2"/>
  <c r="B27" i="2"/>
  <c r="O28" i="8" l="1"/>
  <c r="P28" i="8"/>
  <c r="Q28" i="8"/>
  <c r="R18" i="8"/>
  <c r="R28" i="8" s="1"/>
  <c r="R29" i="8" s="1"/>
  <c r="N28" i="8"/>
  <c r="S18" i="8"/>
  <c r="S28" i="8" s="1"/>
  <c r="S29" i="8" s="1"/>
  <c r="N28" i="7"/>
  <c r="O28" i="7"/>
  <c r="P28" i="7"/>
  <c r="S18" i="7"/>
  <c r="S28" i="7" s="1"/>
  <c r="S29" i="7" s="1"/>
  <c r="Q18" i="7"/>
  <c r="Q28" i="7" s="1"/>
  <c r="R18" i="7"/>
  <c r="R28" i="7" s="1"/>
  <c r="R29" i="7" s="1"/>
  <c r="P12" i="8"/>
  <c r="Q12" i="8"/>
  <c r="R12" i="8"/>
  <c r="R13" i="8" s="1"/>
  <c r="S12" i="8"/>
  <c r="S13" i="8" s="1"/>
  <c r="N12" i="8"/>
  <c r="O12" i="8"/>
  <c r="Q14" i="7"/>
  <c r="R14" i="7" s="1"/>
  <c r="Q13" i="7"/>
  <c r="N29" i="8" l="1"/>
  <c r="Q30" i="8"/>
  <c r="R30" i="8" s="1"/>
  <c r="Q29" i="8"/>
  <c r="N29" i="7"/>
  <c r="Q30" i="7"/>
  <c r="R30" i="7" s="1"/>
  <c r="Q29" i="7"/>
  <c r="N13" i="8"/>
  <c r="Q14" i="8"/>
  <c r="R14" i="8" s="1"/>
  <c r="Q13" i="8"/>
</calcChain>
</file>

<file path=xl/sharedStrings.xml><?xml version="1.0" encoding="utf-8"?>
<sst xmlns="http://schemas.openxmlformats.org/spreadsheetml/2006/main" count="299" uniqueCount="134">
  <si>
    <t>標準光</t>
    <rPh sb="0" eb="2">
      <t>ヒョウジュン</t>
    </rPh>
    <rPh sb="2" eb="3">
      <t>ヒカリ</t>
    </rPh>
    <phoneticPr fontId="1"/>
  </si>
  <si>
    <t>白色点輝度（画面輝度最大）</t>
    <rPh sb="0" eb="5">
      <t>ハクショクテンキド</t>
    </rPh>
    <rPh sb="6" eb="10">
      <t>ガメンキド</t>
    </rPh>
    <rPh sb="10" eb="12">
      <t>サイダイ</t>
    </rPh>
    <phoneticPr fontId="1"/>
  </si>
  <si>
    <t>D50</t>
    <phoneticPr fontId="1"/>
  </si>
  <si>
    <t>D55</t>
    <phoneticPr fontId="1"/>
  </si>
  <si>
    <t>D65</t>
    <phoneticPr fontId="1"/>
  </si>
  <si>
    <t>D75</t>
    <phoneticPr fontId="1"/>
  </si>
  <si>
    <t>D65での各位置での輝度</t>
    <rPh sb="5" eb="8">
      <t>カクイチ</t>
    </rPh>
    <rPh sb="10" eb="12">
      <t>キド</t>
    </rPh>
    <phoneticPr fontId="1"/>
  </si>
  <si>
    <t>設定輝度</t>
    <rPh sb="0" eb="4">
      <t>セッテイキド</t>
    </rPh>
    <phoneticPr fontId="1"/>
  </si>
  <si>
    <t>測定輝度</t>
    <rPh sb="0" eb="2">
      <t>ソクテイ</t>
    </rPh>
    <rPh sb="2" eb="4">
      <t>キド</t>
    </rPh>
    <phoneticPr fontId="1"/>
  </si>
  <si>
    <t>D65での設定輝度値と測定輝度</t>
    <rPh sb="5" eb="10">
      <t>セッテイキドチ</t>
    </rPh>
    <rPh sb="11" eb="13">
      <t>ソクテイ</t>
    </rPh>
    <rPh sb="13" eb="15">
      <t>キド</t>
    </rPh>
    <phoneticPr fontId="1"/>
  </si>
  <si>
    <t>Day1-1</t>
    <phoneticPr fontId="1"/>
  </si>
  <si>
    <t>Day1-2</t>
    <phoneticPr fontId="1"/>
  </si>
  <si>
    <t>Left-T</t>
    <phoneticPr fontId="1"/>
  </si>
  <si>
    <t>Left-M</t>
    <phoneticPr fontId="1"/>
  </si>
  <si>
    <t>Left-B</t>
    <phoneticPr fontId="1"/>
  </si>
  <si>
    <t>Center-T</t>
    <phoneticPr fontId="1"/>
  </si>
  <si>
    <t>Center-M</t>
    <phoneticPr fontId="1"/>
  </si>
  <si>
    <t>Center-B</t>
    <phoneticPr fontId="1"/>
  </si>
  <si>
    <t>Right-T</t>
    <phoneticPr fontId="1"/>
  </si>
  <si>
    <t>Right-M</t>
    <phoneticPr fontId="1"/>
  </si>
  <si>
    <t>Right-B</t>
    <phoneticPr fontId="1"/>
  </si>
  <si>
    <t>Average</t>
    <phoneticPr fontId="1"/>
  </si>
  <si>
    <t>Day1L</t>
    <phoneticPr fontId="1"/>
  </si>
  <si>
    <t>Day1C</t>
    <phoneticPr fontId="1"/>
  </si>
  <si>
    <t>Day1R</t>
    <phoneticPr fontId="1"/>
  </si>
  <si>
    <t>ここでの輝度は全てcd/m^2</t>
    <rPh sb="4" eb="6">
      <t>キド</t>
    </rPh>
    <rPh sb="7" eb="8">
      <t>スベ</t>
    </rPh>
    <phoneticPr fontId="1"/>
  </si>
  <si>
    <t>Top</t>
    <phoneticPr fontId="1"/>
  </si>
  <si>
    <t>Middle</t>
    <phoneticPr fontId="1"/>
  </si>
  <si>
    <t>Bottom</t>
    <phoneticPr fontId="1"/>
  </si>
  <si>
    <t>SetL</t>
    <phoneticPr fontId="1"/>
  </si>
  <si>
    <t>SetC</t>
    <phoneticPr fontId="1"/>
  </si>
  <si>
    <t>SetR</t>
    <phoneticPr fontId="1"/>
  </si>
  <si>
    <t>YL</t>
    <phoneticPr fontId="1"/>
  </si>
  <si>
    <t>YC</t>
    <phoneticPr fontId="1"/>
  </si>
  <si>
    <t>YR</t>
    <phoneticPr fontId="1"/>
  </si>
  <si>
    <t>Day2 60</t>
    <phoneticPr fontId="1"/>
  </si>
  <si>
    <t>Day2 120</t>
    <phoneticPr fontId="1"/>
  </si>
  <si>
    <t>Day3 10</t>
    <phoneticPr fontId="1"/>
  </si>
  <si>
    <t>Day3 60</t>
    <phoneticPr fontId="1"/>
  </si>
  <si>
    <t>Day3 120</t>
    <phoneticPr fontId="1"/>
  </si>
  <si>
    <t>Day2 30</t>
    <phoneticPr fontId="1"/>
  </si>
  <si>
    <t>Day3 30</t>
    <phoneticPr fontId="1"/>
  </si>
  <si>
    <t>Day3 90</t>
    <phoneticPr fontId="1"/>
  </si>
  <si>
    <t>min</t>
    <phoneticPr fontId="1"/>
  </si>
  <si>
    <t>max</t>
    <phoneticPr fontId="1"/>
  </si>
  <si>
    <t>輝度ムラ</t>
    <rPh sb="0" eb="2">
      <t>キド</t>
    </rPh>
    <phoneticPr fontId="1"/>
  </si>
  <si>
    <t>R_Mean</t>
  </si>
  <si>
    <t>R_Std</t>
  </si>
  <si>
    <t>G_Mean</t>
  </si>
  <si>
    <t>G_Std</t>
  </si>
  <si>
    <t>B_Mean</t>
  </si>
  <si>
    <t>B_Std</t>
  </si>
  <si>
    <t>Y_Mean</t>
  </si>
  <si>
    <t>Y_Std</t>
  </si>
  <si>
    <t>OFF</t>
  </si>
  <si>
    <t>ON</t>
  </si>
  <si>
    <t>OFF</t>
    <phoneticPr fontId="1"/>
  </si>
  <si>
    <t>ON</t>
    <phoneticPr fontId="1"/>
  </si>
  <si>
    <t>全画面</t>
    <rPh sb="0" eb="3">
      <t>ゼンガメン</t>
    </rPh>
    <phoneticPr fontId="1"/>
  </si>
  <si>
    <t>画像表示範囲</t>
    <rPh sb="0" eb="4">
      <t>ガゾ</t>
    </rPh>
    <rPh sb="4" eb="6">
      <t>ハンイ</t>
    </rPh>
    <phoneticPr fontId="1"/>
  </si>
  <si>
    <t>Mean</t>
    <phoneticPr fontId="1"/>
  </si>
  <si>
    <t>Std</t>
    <phoneticPr fontId="1"/>
  </si>
  <si>
    <t>ratio</t>
    <phoneticPr fontId="1"/>
  </si>
  <si>
    <t>Light</t>
    <phoneticPr fontId="1"/>
  </si>
  <si>
    <t>Illuminance [lx]</t>
    <phoneticPr fontId="1"/>
  </si>
  <si>
    <t>N.D. (OFF)</t>
    <phoneticPr fontId="1"/>
  </si>
  <si>
    <t>186.6 (ON)</t>
    <phoneticPr fontId="1"/>
  </si>
  <si>
    <t>R</t>
    <phoneticPr fontId="1"/>
  </si>
  <si>
    <t>G</t>
    <phoneticPr fontId="1"/>
  </si>
  <si>
    <t>B</t>
    <phoneticPr fontId="1"/>
  </si>
  <si>
    <t>R_m</t>
    <phoneticPr fontId="1"/>
  </si>
  <si>
    <t>G_m</t>
    <phoneticPr fontId="1"/>
  </si>
  <si>
    <t>B_m</t>
    <phoneticPr fontId="1"/>
  </si>
  <si>
    <t>端</t>
    <rPh sb="0" eb="1">
      <t>ハシ</t>
    </rPh>
    <phoneticPr fontId="1"/>
  </si>
  <si>
    <t>端から3cm</t>
    <rPh sb="0" eb="1">
      <t>ハシ</t>
    </rPh>
    <phoneticPr fontId="1"/>
  </si>
  <si>
    <t>T1</t>
    <phoneticPr fontId="1"/>
  </si>
  <si>
    <t>T2</t>
    <phoneticPr fontId="1"/>
  </si>
  <si>
    <t>R1</t>
    <phoneticPr fontId="1"/>
  </si>
  <si>
    <t>B1</t>
    <phoneticPr fontId="1"/>
  </si>
  <si>
    <t>B2</t>
    <phoneticPr fontId="1"/>
  </si>
  <si>
    <t>B3</t>
    <phoneticPr fontId="1"/>
  </si>
  <si>
    <t>L1</t>
    <phoneticPr fontId="1"/>
  </si>
  <si>
    <t>L2</t>
    <phoneticPr fontId="1"/>
  </si>
  <si>
    <t>L3</t>
    <phoneticPr fontId="1"/>
  </si>
  <si>
    <t>R2</t>
    <phoneticPr fontId="1"/>
  </si>
  <si>
    <t>R3</t>
    <phoneticPr fontId="1"/>
  </si>
  <si>
    <t>mean</t>
    <phoneticPr fontId="1"/>
  </si>
  <si>
    <t>1'</t>
    <phoneticPr fontId="1"/>
  </si>
  <si>
    <t>2'</t>
    <phoneticPr fontId="1"/>
  </si>
  <si>
    <t>3'</t>
    <phoneticPr fontId="1"/>
  </si>
  <si>
    <t>4'</t>
  </si>
  <si>
    <t>5'</t>
  </si>
  <si>
    <t>6'</t>
  </si>
  <si>
    <t>7'</t>
  </si>
  <si>
    <t>8'</t>
  </si>
  <si>
    <t>9'</t>
  </si>
  <si>
    <t>10'</t>
  </si>
  <si>
    <t>AE_R</t>
    <phoneticPr fontId="1"/>
  </si>
  <si>
    <t>AE_G</t>
    <phoneticPr fontId="1"/>
  </si>
  <si>
    <t>AE_B</t>
    <phoneticPr fontId="1"/>
  </si>
  <si>
    <t>SE_R</t>
    <phoneticPr fontId="1"/>
  </si>
  <si>
    <t>SE_G</t>
    <phoneticPr fontId="1"/>
  </si>
  <si>
    <t>SE_B</t>
    <phoneticPr fontId="1"/>
  </si>
  <si>
    <t>MAE</t>
    <phoneticPr fontId="1"/>
  </si>
  <si>
    <t>RMSE</t>
    <phoneticPr fontId="1"/>
  </si>
  <si>
    <t>[ 0.5048 -0.0138 -0.0026]</t>
  </si>
  <si>
    <t xml:space="preserve"> [-0.0032  0.4898 -0.0123]</t>
  </si>
  <si>
    <t xml:space="preserve"> [-0.0048  0.0041  0.4447]</t>
  </si>
  <si>
    <t>R_Cam</t>
    <phoneticPr fontId="1"/>
  </si>
  <si>
    <t>L_Cam</t>
    <phoneticPr fontId="1"/>
  </si>
  <si>
    <t>raw</t>
    <phoneticPr fontId="1"/>
  </si>
  <si>
    <t>3'</t>
  </si>
  <si>
    <t>10'</t>
    <phoneticPr fontId="1"/>
  </si>
  <si>
    <t>mean</t>
  </si>
  <si>
    <t>std</t>
  </si>
  <si>
    <t>bg</t>
    <phoneticPr fontId="1"/>
  </si>
  <si>
    <t>fg</t>
    <phoneticPr fontId="1"/>
  </si>
  <si>
    <t>Pixel: 255</t>
    <phoneticPr fontId="1"/>
  </si>
  <si>
    <t>Pixel: 230</t>
    <phoneticPr fontId="1"/>
  </si>
  <si>
    <t>Pixel: 217</t>
    <phoneticPr fontId="1"/>
  </si>
  <si>
    <t>Pixel: 180</t>
    <phoneticPr fontId="1"/>
  </si>
  <si>
    <t>Pixel: 155</t>
    <phoneticPr fontId="1"/>
  </si>
  <si>
    <t>Pixel: 102</t>
    <phoneticPr fontId="1"/>
  </si>
  <si>
    <t>Pixel: 0</t>
    <phoneticPr fontId="1"/>
  </si>
  <si>
    <t>Date</t>
    <phoneticPr fontId="1"/>
  </si>
  <si>
    <t>Pixel: 254</t>
    <phoneticPr fontId="1"/>
  </si>
  <si>
    <t>Pixel: 243</t>
    <phoneticPr fontId="1"/>
  </si>
  <si>
    <t>Pixel: 232</t>
    <phoneticPr fontId="1"/>
  </si>
  <si>
    <t>Pixel: 202</t>
    <phoneticPr fontId="1"/>
  </si>
  <si>
    <t>Pixel: 186</t>
    <phoneticPr fontId="1"/>
  </si>
  <si>
    <t>Pixel: 168</t>
    <phoneticPr fontId="1"/>
  </si>
  <si>
    <t>Pixel: 148</t>
    <phoneticPr fontId="1"/>
  </si>
  <si>
    <t>Pixel: 123</t>
    <phoneticPr fontId="1"/>
  </si>
  <si>
    <t>Pixel: 90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</si>
</sst>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_ "/>
  </numFmts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76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76" fontId="0" fillId="0" borderId="3" xfId="0" applyNumberFormat="1" applyBorder="1" applyAlignment="1">
      <alignment horizontal="center"/>
    </xf>
    <xf numFmtId="177" fontId="0" fillId="0" borderId="0" xfId="0" applyNumberFormat="1" applyAlignment="1">
      <alignment horizontal="center" vertical="center"/>
    </xf>
    <xf numFmtId="0" fontId="0" fillId="0" borderId="1" xfId="0" applyBorder="1" applyAlignment="1">
      <alignment vertical="center"/>
    </xf>
    <xf numFmtId="177" fontId="0" fillId="0" borderId="2" xfId="0" applyNumberForma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4" borderId="0" xfId="0" applyFill="1"/>
    <xf numFmtId="0" fontId="0" fillId="5" borderId="0" xfId="0" applyFill="1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FGDisplay!$B$31</c:f>
              <c:strCache>
                <c:ptCount val="1"/>
                <c:pt idx="0">
                  <c:v>Day1L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3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FGDisplay!$A$32:$A$82</c:f>
              <c:numCache>
                <c:formatCode>General</c:formatCode>
                <c:ptCount val="51"/>
                <c:pt idx="0">
                  <c:v>100</c:v>
                </c:pt>
                <c:pt idx="1">
                  <c:v>98</c:v>
                </c:pt>
                <c:pt idx="2">
                  <c:v>96</c:v>
                </c:pt>
                <c:pt idx="3">
                  <c:v>94</c:v>
                </c:pt>
                <c:pt idx="4">
                  <c:v>92</c:v>
                </c:pt>
                <c:pt idx="5">
                  <c:v>90</c:v>
                </c:pt>
                <c:pt idx="6">
                  <c:v>88</c:v>
                </c:pt>
                <c:pt idx="7">
                  <c:v>86</c:v>
                </c:pt>
                <c:pt idx="8">
                  <c:v>84</c:v>
                </c:pt>
                <c:pt idx="9">
                  <c:v>82</c:v>
                </c:pt>
                <c:pt idx="10">
                  <c:v>80</c:v>
                </c:pt>
                <c:pt idx="11">
                  <c:v>78</c:v>
                </c:pt>
                <c:pt idx="12">
                  <c:v>76</c:v>
                </c:pt>
                <c:pt idx="13">
                  <c:v>74</c:v>
                </c:pt>
                <c:pt idx="14">
                  <c:v>72</c:v>
                </c:pt>
                <c:pt idx="15">
                  <c:v>70</c:v>
                </c:pt>
                <c:pt idx="16">
                  <c:v>68</c:v>
                </c:pt>
                <c:pt idx="17">
                  <c:v>66</c:v>
                </c:pt>
                <c:pt idx="18">
                  <c:v>64</c:v>
                </c:pt>
                <c:pt idx="19">
                  <c:v>62</c:v>
                </c:pt>
                <c:pt idx="20">
                  <c:v>60</c:v>
                </c:pt>
                <c:pt idx="21">
                  <c:v>58</c:v>
                </c:pt>
                <c:pt idx="22">
                  <c:v>56</c:v>
                </c:pt>
                <c:pt idx="23">
                  <c:v>54</c:v>
                </c:pt>
                <c:pt idx="24">
                  <c:v>52</c:v>
                </c:pt>
                <c:pt idx="25">
                  <c:v>50</c:v>
                </c:pt>
                <c:pt idx="26">
                  <c:v>48</c:v>
                </c:pt>
                <c:pt idx="27">
                  <c:v>46</c:v>
                </c:pt>
                <c:pt idx="28">
                  <c:v>44</c:v>
                </c:pt>
                <c:pt idx="29">
                  <c:v>42</c:v>
                </c:pt>
                <c:pt idx="30">
                  <c:v>40</c:v>
                </c:pt>
                <c:pt idx="31">
                  <c:v>38</c:v>
                </c:pt>
                <c:pt idx="32">
                  <c:v>36</c:v>
                </c:pt>
                <c:pt idx="33">
                  <c:v>34</c:v>
                </c:pt>
                <c:pt idx="34">
                  <c:v>32</c:v>
                </c:pt>
                <c:pt idx="35">
                  <c:v>30</c:v>
                </c:pt>
                <c:pt idx="36">
                  <c:v>28</c:v>
                </c:pt>
                <c:pt idx="37">
                  <c:v>26</c:v>
                </c:pt>
                <c:pt idx="38">
                  <c:v>24</c:v>
                </c:pt>
                <c:pt idx="39">
                  <c:v>22</c:v>
                </c:pt>
                <c:pt idx="40">
                  <c:v>20</c:v>
                </c:pt>
                <c:pt idx="41">
                  <c:v>18</c:v>
                </c:pt>
                <c:pt idx="42">
                  <c:v>16</c:v>
                </c:pt>
                <c:pt idx="43">
                  <c:v>14</c:v>
                </c:pt>
                <c:pt idx="44">
                  <c:v>12</c:v>
                </c:pt>
                <c:pt idx="45">
                  <c:v>10</c:v>
                </c:pt>
                <c:pt idx="46">
                  <c:v>8</c:v>
                </c:pt>
                <c:pt idx="47">
                  <c:v>6</c:v>
                </c:pt>
                <c:pt idx="48">
                  <c:v>4</c:v>
                </c:pt>
                <c:pt idx="49">
                  <c:v>2</c:v>
                </c:pt>
                <c:pt idx="50">
                  <c:v>0</c:v>
                </c:pt>
              </c:numCache>
            </c:numRef>
          </c:xVal>
          <c:yVal>
            <c:numRef>
              <c:f>FGDisplay!$B$32:$B$82</c:f>
              <c:numCache>
                <c:formatCode>General</c:formatCode>
                <c:ptCount val="51"/>
                <c:pt idx="0">
                  <c:v>195</c:v>
                </c:pt>
                <c:pt idx="1">
                  <c:v>192</c:v>
                </c:pt>
                <c:pt idx="2">
                  <c:v>188</c:v>
                </c:pt>
                <c:pt idx="3">
                  <c:v>184</c:v>
                </c:pt>
                <c:pt idx="4">
                  <c:v>181</c:v>
                </c:pt>
                <c:pt idx="5">
                  <c:v>177</c:v>
                </c:pt>
                <c:pt idx="6">
                  <c:v>173</c:v>
                </c:pt>
                <c:pt idx="7">
                  <c:v>170</c:v>
                </c:pt>
                <c:pt idx="8">
                  <c:v>166</c:v>
                </c:pt>
                <c:pt idx="9">
                  <c:v>162</c:v>
                </c:pt>
                <c:pt idx="10">
                  <c:v>159</c:v>
                </c:pt>
                <c:pt idx="11">
                  <c:v>155</c:v>
                </c:pt>
                <c:pt idx="12">
                  <c:v>152</c:v>
                </c:pt>
                <c:pt idx="13">
                  <c:v>147</c:v>
                </c:pt>
                <c:pt idx="14">
                  <c:v>144</c:v>
                </c:pt>
                <c:pt idx="15">
                  <c:v>140</c:v>
                </c:pt>
                <c:pt idx="16">
                  <c:v>136</c:v>
                </c:pt>
                <c:pt idx="17">
                  <c:v>132</c:v>
                </c:pt>
                <c:pt idx="18">
                  <c:v>129</c:v>
                </c:pt>
                <c:pt idx="19">
                  <c:v>125</c:v>
                </c:pt>
                <c:pt idx="20">
                  <c:v>121</c:v>
                </c:pt>
                <c:pt idx="21">
                  <c:v>117</c:v>
                </c:pt>
                <c:pt idx="22">
                  <c:v>113</c:v>
                </c:pt>
                <c:pt idx="23">
                  <c:v>109</c:v>
                </c:pt>
                <c:pt idx="24">
                  <c:v>105</c:v>
                </c:pt>
                <c:pt idx="25">
                  <c:v>101</c:v>
                </c:pt>
                <c:pt idx="26">
                  <c:v>99</c:v>
                </c:pt>
                <c:pt idx="27">
                  <c:v>95</c:v>
                </c:pt>
                <c:pt idx="28">
                  <c:v>93</c:v>
                </c:pt>
                <c:pt idx="29">
                  <c:v>90</c:v>
                </c:pt>
                <c:pt idx="30">
                  <c:v>87</c:v>
                </c:pt>
                <c:pt idx="31">
                  <c:v>84</c:v>
                </c:pt>
                <c:pt idx="32">
                  <c:v>81</c:v>
                </c:pt>
                <c:pt idx="33">
                  <c:v>79</c:v>
                </c:pt>
                <c:pt idx="34">
                  <c:v>75</c:v>
                </c:pt>
                <c:pt idx="35">
                  <c:v>72</c:v>
                </c:pt>
                <c:pt idx="36">
                  <c:v>69</c:v>
                </c:pt>
                <c:pt idx="37">
                  <c:v>66</c:v>
                </c:pt>
                <c:pt idx="38">
                  <c:v>63</c:v>
                </c:pt>
                <c:pt idx="39">
                  <c:v>60</c:v>
                </c:pt>
                <c:pt idx="40">
                  <c:v>57</c:v>
                </c:pt>
                <c:pt idx="41">
                  <c:v>54</c:v>
                </c:pt>
                <c:pt idx="42">
                  <c:v>51</c:v>
                </c:pt>
                <c:pt idx="43">
                  <c:v>48</c:v>
                </c:pt>
                <c:pt idx="44">
                  <c:v>45</c:v>
                </c:pt>
                <c:pt idx="45">
                  <c:v>42</c:v>
                </c:pt>
                <c:pt idx="46">
                  <c:v>38</c:v>
                </c:pt>
                <c:pt idx="47">
                  <c:v>35</c:v>
                </c:pt>
                <c:pt idx="48">
                  <c:v>33</c:v>
                </c:pt>
                <c:pt idx="49">
                  <c:v>29</c:v>
                </c:pt>
                <c:pt idx="50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A5-414A-BCF4-7791DC8B454A}"/>
            </c:ext>
          </c:extLst>
        </c:ser>
        <c:ser>
          <c:idx val="1"/>
          <c:order val="1"/>
          <c:tx>
            <c:strRef>
              <c:f>FGDisplay!$C$31</c:f>
              <c:strCache>
                <c:ptCount val="1"/>
                <c:pt idx="0">
                  <c:v>Day1C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triangle"/>
            <c:size val="3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FGDisplay!$A$32:$A$82</c:f>
              <c:numCache>
                <c:formatCode>General</c:formatCode>
                <c:ptCount val="51"/>
                <c:pt idx="0">
                  <c:v>100</c:v>
                </c:pt>
                <c:pt idx="1">
                  <c:v>98</c:v>
                </c:pt>
                <c:pt idx="2">
                  <c:v>96</c:v>
                </c:pt>
                <c:pt idx="3">
                  <c:v>94</c:v>
                </c:pt>
                <c:pt idx="4">
                  <c:v>92</c:v>
                </c:pt>
                <c:pt idx="5">
                  <c:v>90</c:v>
                </c:pt>
                <c:pt idx="6">
                  <c:v>88</c:v>
                </c:pt>
                <c:pt idx="7">
                  <c:v>86</c:v>
                </c:pt>
                <c:pt idx="8">
                  <c:v>84</c:v>
                </c:pt>
                <c:pt idx="9">
                  <c:v>82</c:v>
                </c:pt>
                <c:pt idx="10">
                  <c:v>80</c:v>
                </c:pt>
                <c:pt idx="11">
                  <c:v>78</c:v>
                </c:pt>
                <c:pt idx="12">
                  <c:v>76</c:v>
                </c:pt>
                <c:pt idx="13">
                  <c:v>74</c:v>
                </c:pt>
                <c:pt idx="14">
                  <c:v>72</c:v>
                </c:pt>
                <c:pt idx="15">
                  <c:v>70</c:v>
                </c:pt>
                <c:pt idx="16">
                  <c:v>68</c:v>
                </c:pt>
                <c:pt idx="17">
                  <c:v>66</c:v>
                </c:pt>
                <c:pt idx="18">
                  <c:v>64</c:v>
                </c:pt>
                <c:pt idx="19">
                  <c:v>62</c:v>
                </c:pt>
                <c:pt idx="20">
                  <c:v>60</c:v>
                </c:pt>
                <c:pt idx="21">
                  <c:v>58</c:v>
                </c:pt>
                <c:pt idx="22">
                  <c:v>56</c:v>
                </c:pt>
                <c:pt idx="23">
                  <c:v>54</c:v>
                </c:pt>
                <c:pt idx="24">
                  <c:v>52</c:v>
                </c:pt>
                <c:pt idx="25">
                  <c:v>50</c:v>
                </c:pt>
                <c:pt idx="26">
                  <c:v>48</c:v>
                </c:pt>
                <c:pt idx="27">
                  <c:v>46</c:v>
                </c:pt>
                <c:pt idx="28">
                  <c:v>44</c:v>
                </c:pt>
                <c:pt idx="29">
                  <c:v>42</c:v>
                </c:pt>
                <c:pt idx="30">
                  <c:v>40</c:v>
                </c:pt>
                <c:pt idx="31">
                  <c:v>38</c:v>
                </c:pt>
                <c:pt idx="32">
                  <c:v>36</c:v>
                </c:pt>
                <c:pt idx="33">
                  <c:v>34</c:v>
                </c:pt>
                <c:pt idx="34">
                  <c:v>32</c:v>
                </c:pt>
                <c:pt idx="35">
                  <c:v>30</c:v>
                </c:pt>
                <c:pt idx="36">
                  <c:v>28</c:v>
                </c:pt>
                <c:pt idx="37">
                  <c:v>26</c:v>
                </c:pt>
                <c:pt idx="38">
                  <c:v>24</c:v>
                </c:pt>
                <c:pt idx="39">
                  <c:v>22</c:v>
                </c:pt>
                <c:pt idx="40">
                  <c:v>20</c:v>
                </c:pt>
                <c:pt idx="41">
                  <c:v>18</c:v>
                </c:pt>
                <c:pt idx="42">
                  <c:v>16</c:v>
                </c:pt>
                <c:pt idx="43">
                  <c:v>14</c:v>
                </c:pt>
                <c:pt idx="44">
                  <c:v>12</c:v>
                </c:pt>
                <c:pt idx="45">
                  <c:v>10</c:v>
                </c:pt>
                <c:pt idx="46">
                  <c:v>8</c:v>
                </c:pt>
                <c:pt idx="47">
                  <c:v>6</c:v>
                </c:pt>
                <c:pt idx="48">
                  <c:v>4</c:v>
                </c:pt>
                <c:pt idx="49">
                  <c:v>2</c:v>
                </c:pt>
                <c:pt idx="50">
                  <c:v>0</c:v>
                </c:pt>
              </c:numCache>
            </c:numRef>
          </c:xVal>
          <c:yVal>
            <c:numRef>
              <c:f>FGDisplay!$C$32:$C$82</c:f>
              <c:numCache>
                <c:formatCode>General</c:formatCode>
                <c:ptCount val="51"/>
                <c:pt idx="0">
                  <c:v>193</c:v>
                </c:pt>
                <c:pt idx="1">
                  <c:v>189</c:v>
                </c:pt>
                <c:pt idx="2">
                  <c:v>186</c:v>
                </c:pt>
                <c:pt idx="3">
                  <c:v>183</c:v>
                </c:pt>
                <c:pt idx="4">
                  <c:v>179</c:v>
                </c:pt>
                <c:pt idx="5">
                  <c:v>175</c:v>
                </c:pt>
                <c:pt idx="6">
                  <c:v>171</c:v>
                </c:pt>
                <c:pt idx="7">
                  <c:v>168</c:v>
                </c:pt>
                <c:pt idx="8">
                  <c:v>164</c:v>
                </c:pt>
                <c:pt idx="9">
                  <c:v>161</c:v>
                </c:pt>
                <c:pt idx="10">
                  <c:v>157</c:v>
                </c:pt>
                <c:pt idx="11">
                  <c:v>154</c:v>
                </c:pt>
                <c:pt idx="12">
                  <c:v>150</c:v>
                </c:pt>
                <c:pt idx="13">
                  <c:v>146</c:v>
                </c:pt>
                <c:pt idx="14">
                  <c:v>142</c:v>
                </c:pt>
                <c:pt idx="15">
                  <c:v>138</c:v>
                </c:pt>
                <c:pt idx="16">
                  <c:v>135</c:v>
                </c:pt>
                <c:pt idx="17">
                  <c:v>131</c:v>
                </c:pt>
                <c:pt idx="18">
                  <c:v>127</c:v>
                </c:pt>
                <c:pt idx="19">
                  <c:v>124</c:v>
                </c:pt>
                <c:pt idx="20">
                  <c:v>120</c:v>
                </c:pt>
                <c:pt idx="21">
                  <c:v>115</c:v>
                </c:pt>
                <c:pt idx="22">
                  <c:v>112</c:v>
                </c:pt>
                <c:pt idx="23">
                  <c:v>108</c:v>
                </c:pt>
                <c:pt idx="24">
                  <c:v>104</c:v>
                </c:pt>
                <c:pt idx="25">
                  <c:v>101</c:v>
                </c:pt>
                <c:pt idx="26">
                  <c:v>97</c:v>
                </c:pt>
                <c:pt idx="27">
                  <c:v>95</c:v>
                </c:pt>
                <c:pt idx="28">
                  <c:v>92</c:v>
                </c:pt>
                <c:pt idx="29">
                  <c:v>89</c:v>
                </c:pt>
                <c:pt idx="30">
                  <c:v>86</c:v>
                </c:pt>
                <c:pt idx="31">
                  <c:v>83</c:v>
                </c:pt>
                <c:pt idx="32">
                  <c:v>80</c:v>
                </c:pt>
                <c:pt idx="33">
                  <c:v>77</c:v>
                </c:pt>
                <c:pt idx="34">
                  <c:v>74</c:v>
                </c:pt>
                <c:pt idx="35">
                  <c:v>71</c:v>
                </c:pt>
                <c:pt idx="36">
                  <c:v>68</c:v>
                </c:pt>
                <c:pt idx="37">
                  <c:v>65</c:v>
                </c:pt>
                <c:pt idx="38">
                  <c:v>63</c:v>
                </c:pt>
                <c:pt idx="39">
                  <c:v>60</c:v>
                </c:pt>
                <c:pt idx="40">
                  <c:v>57</c:v>
                </c:pt>
                <c:pt idx="41">
                  <c:v>53</c:v>
                </c:pt>
                <c:pt idx="42">
                  <c:v>50</c:v>
                </c:pt>
                <c:pt idx="43">
                  <c:v>48</c:v>
                </c:pt>
                <c:pt idx="44">
                  <c:v>45</c:v>
                </c:pt>
                <c:pt idx="45">
                  <c:v>41</c:v>
                </c:pt>
                <c:pt idx="46">
                  <c:v>38</c:v>
                </c:pt>
                <c:pt idx="47">
                  <c:v>35</c:v>
                </c:pt>
                <c:pt idx="48">
                  <c:v>33</c:v>
                </c:pt>
                <c:pt idx="49">
                  <c:v>29</c:v>
                </c:pt>
                <c:pt idx="50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A5-414A-BCF4-7791DC8B454A}"/>
            </c:ext>
          </c:extLst>
        </c:ser>
        <c:ser>
          <c:idx val="2"/>
          <c:order val="2"/>
          <c:tx>
            <c:strRef>
              <c:f>FGDisplay!$D$31</c:f>
              <c:strCache>
                <c:ptCount val="1"/>
                <c:pt idx="0">
                  <c:v>Day1R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3"/>
            <c:spPr>
              <a:noFill/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FGDisplay!$A$32:$A$82</c:f>
              <c:numCache>
                <c:formatCode>General</c:formatCode>
                <c:ptCount val="51"/>
                <c:pt idx="0">
                  <c:v>100</c:v>
                </c:pt>
                <c:pt idx="1">
                  <c:v>98</c:v>
                </c:pt>
                <c:pt idx="2">
                  <c:v>96</c:v>
                </c:pt>
                <c:pt idx="3">
                  <c:v>94</c:v>
                </c:pt>
                <c:pt idx="4">
                  <c:v>92</c:v>
                </c:pt>
                <c:pt idx="5">
                  <c:v>90</c:v>
                </c:pt>
                <c:pt idx="6">
                  <c:v>88</c:v>
                </c:pt>
                <c:pt idx="7">
                  <c:v>86</c:v>
                </c:pt>
                <c:pt idx="8">
                  <c:v>84</c:v>
                </c:pt>
                <c:pt idx="9">
                  <c:v>82</c:v>
                </c:pt>
                <c:pt idx="10">
                  <c:v>80</c:v>
                </c:pt>
                <c:pt idx="11">
                  <c:v>78</c:v>
                </c:pt>
                <c:pt idx="12">
                  <c:v>76</c:v>
                </c:pt>
                <c:pt idx="13">
                  <c:v>74</c:v>
                </c:pt>
                <c:pt idx="14">
                  <c:v>72</c:v>
                </c:pt>
                <c:pt idx="15">
                  <c:v>70</c:v>
                </c:pt>
                <c:pt idx="16">
                  <c:v>68</c:v>
                </c:pt>
                <c:pt idx="17">
                  <c:v>66</c:v>
                </c:pt>
                <c:pt idx="18">
                  <c:v>64</c:v>
                </c:pt>
                <c:pt idx="19">
                  <c:v>62</c:v>
                </c:pt>
                <c:pt idx="20">
                  <c:v>60</c:v>
                </c:pt>
                <c:pt idx="21">
                  <c:v>58</c:v>
                </c:pt>
                <c:pt idx="22">
                  <c:v>56</c:v>
                </c:pt>
                <c:pt idx="23">
                  <c:v>54</c:v>
                </c:pt>
                <c:pt idx="24">
                  <c:v>52</c:v>
                </c:pt>
                <c:pt idx="25">
                  <c:v>50</c:v>
                </c:pt>
                <c:pt idx="26">
                  <c:v>48</c:v>
                </c:pt>
                <c:pt idx="27">
                  <c:v>46</c:v>
                </c:pt>
                <c:pt idx="28">
                  <c:v>44</c:v>
                </c:pt>
                <c:pt idx="29">
                  <c:v>42</c:v>
                </c:pt>
                <c:pt idx="30">
                  <c:v>40</c:v>
                </c:pt>
                <c:pt idx="31">
                  <c:v>38</c:v>
                </c:pt>
                <c:pt idx="32">
                  <c:v>36</c:v>
                </c:pt>
                <c:pt idx="33">
                  <c:v>34</c:v>
                </c:pt>
                <c:pt idx="34">
                  <c:v>32</c:v>
                </c:pt>
                <c:pt idx="35">
                  <c:v>30</c:v>
                </c:pt>
                <c:pt idx="36">
                  <c:v>28</c:v>
                </c:pt>
                <c:pt idx="37">
                  <c:v>26</c:v>
                </c:pt>
                <c:pt idx="38">
                  <c:v>24</c:v>
                </c:pt>
                <c:pt idx="39">
                  <c:v>22</c:v>
                </c:pt>
                <c:pt idx="40">
                  <c:v>20</c:v>
                </c:pt>
                <c:pt idx="41">
                  <c:v>18</c:v>
                </c:pt>
                <c:pt idx="42">
                  <c:v>16</c:v>
                </c:pt>
                <c:pt idx="43">
                  <c:v>14</c:v>
                </c:pt>
                <c:pt idx="44">
                  <c:v>12</c:v>
                </c:pt>
                <c:pt idx="45">
                  <c:v>10</c:v>
                </c:pt>
                <c:pt idx="46">
                  <c:v>8</c:v>
                </c:pt>
                <c:pt idx="47">
                  <c:v>6</c:v>
                </c:pt>
                <c:pt idx="48">
                  <c:v>4</c:v>
                </c:pt>
                <c:pt idx="49">
                  <c:v>2</c:v>
                </c:pt>
                <c:pt idx="50">
                  <c:v>0</c:v>
                </c:pt>
              </c:numCache>
            </c:numRef>
          </c:xVal>
          <c:yVal>
            <c:numRef>
              <c:f>FGDisplay!$D$32:$D$82</c:f>
              <c:numCache>
                <c:formatCode>General</c:formatCode>
                <c:ptCount val="51"/>
                <c:pt idx="0">
                  <c:v>203</c:v>
                </c:pt>
                <c:pt idx="1">
                  <c:v>198</c:v>
                </c:pt>
                <c:pt idx="2">
                  <c:v>195</c:v>
                </c:pt>
                <c:pt idx="3">
                  <c:v>191</c:v>
                </c:pt>
                <c:pt idx="4">
                  <c:v>187</c:v>
                </c:pt>
                <c:pt idx="5">
                  <c:v>183</c:v>
                </c:pt>
                <c:pt idx="6">
                  <c:v>179</c:v>
                </c:pt>
                <c:pt idx="7">
                  <c:v>175</c:v>
                </c:pt>
                <c:pt idx="8">
                  <c:v>171</c:v>
                </c:pt>
                <c:pt idx="9">
                  <c:v>168</c:v>
                </c:pt>
                <c:pt idx="10">
                  <c:v>164</c:v>
                </c:pt>
                <c:pt idx="11">
                  <c:v>160</c:v>
                </c:pt>
                <c:pt idx="12">
                  <c:v>157</c:v>
                </c:pt>
                <c:pt idx="13">
                  <c:v>152</c:v>
                </c:pt>
                <c:pt idx="14">
                  <c:v>148</c:v>
                </c:pt>
                <c:pt idx="15">
                  <c:v>144</c:v>
                </c:pt>
                <c:pt idx="16">
                  <c:v>141</c:v>
                </c:pt>
                <c:pt idx="17">
                  <c:v>137</c:v>
                </c:pt>
                <c:pt idx="18">
                  <c:v>133</c:v>
                </c:pt>
                <c:pt idx="19">
                  <c:v>129</c:v>
                </c:pt>
                <c:pt idx="20">
                  <c:v>125</c:v>
                </c:pt>
                <c:pt idx="21">
                  <c:v>120</c:v>
                </c:pt>
                <c:pt idx="22">
                  <c:v>117</c:v>
                </c:pt>
                <c:pt idx="23">
                  <c:v>113</c:v>
                </c:pt>
                <c:pt idx="24">
                  <c:v>109</c:v>
                </c:pt>
                <c:pt idx="25">
                  <c:v>105</c:v>
                </c:pt>
                <c:pt idx="26">
                  <c:v>101</c:v>
                </c:pt>
                <c:pt idx="27">
                  <c:v>98</c:v>
                </c:pt>
                <c:pt idx="28">
                  <c:v>96</c:v>
                </c:pt>
                <c:pt idx="29">
                  <c:v>93</c:v>
                </c:pt>
                <c:pt idx="30">
                  <c:v>90</c:v>
                </c:pt>
                <c:pt idx="31">
                  <c:v>87</c:v>
                </c:pt>
                <c:pt idx="32">
                  <c:v>83</c:v>
                </c:pt>
                <c:pt idx="33">
                  <c:v>81</c:v>
                </c:pt>
                <c:pt idx="34">
                  <c:v>77</c:v>
                </c:pt>
                <c:pt idx="35">
                  <c:v>74</c:v>
                </c:pt>
                <c:pt idx="36">
                  <c:v>71</c:v>
                </c:pt>
                <c:pt idx="37">
                  <c:v>68</c:v>
                </c:pt>
                <c:pt idx="38">
                  <c:v>65</c:v>
                </c:pt>
                <c:pt idx="39">
                  <c:v>62</c:v>
                </c:pt>
                <c:pt idx="40">
                  <c:v>59</c:v>
                </c:pt>
                <c:pt idx="41">
                  <c:v>55</c:v>
                </c:pt>
                <c:pt idx="42">
                  <c:v>52</c:v>
                </c:pt>
                <c:pt idx="43">
                  <c:v>49</c:v>
                </c:pt>
                <c:pt idx="44">
                  <c:v>46</c:v>
                </c:pt>
                <c:pt idx="45">
                  <c:v>43</c:v>
                </c:pt>
                <c:pt idx="46">
                  <c:v>39</c:v>
                </c:pt>
                <c:pt idx="47">
                  <c:v>36</c:v>
                </c:pt>
                <c:pt idx="48">
                  <c:v>33</c:v>
                </c:pt>
                <c:pt idx="49">
                  <c:v>30</c:v>
                </c:pt>
                <c:pt idx="50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A5-414A-BCF4-7791DC8B4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6291696"/>
        <c:axId val="326277296"/>
      </c:scatterChart>
      <c:valAx>
        <c:axId val="326291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26277296"/>
        <c:crosses val="autoZero"/>
        <c:crossBetween val="midCat"/>
      </c:valAx>
      <c:valAx>
        <c:axId val="32627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262916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43458780459556"/>
          <c:y val="8.9953703703703702E-2"/>
          <c:w val="0.82323197353247757"/>
          <c:h val="0.62556248177311169"/>
        </c:manualLayout>
      </c:layout>
      <c:scatterChart>
        <c:scatterStyle val="lineMarker"/>
        <c:varyColors val="0"/>
        <c:ser>
          <c:idx val="0"/>
          <c:order val="0"/>
          <c:tx>
            <c:strRef>
              <c:f>FGDisplay!$B$8</c:f>
              <c:strCache>
                <c:ptCount val="1"/>
                <c:pt idx="0">
                  <c:v>Left-T</c:v>
                </c:pt>
              </c:strCache>
            </c:strRef>
          </c:tx>
          <c:spPr>
            <a:ln w="19050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1">
                  <a:lumMod val="40000"/>
                  <a:lumOff val="60000"/>
                </a:schemeClr>
              </a:solidFill>
              <a:ln w="9525">
                <a:solidFill>
                  <a:schemeClr val="accent1">
                    <a:lumMod val="40000"/>
                    <a:lumOff val="60000"/>
                  </a:schemeClr>
                </a:solidFill>
              </a:ln>
              <a:effectLst/>
            </c:spPr>
          </c:marker>
          <c:xVal>
            <c:numRef>
              <c:f>FGDisplay!$A$9:$A$20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FGDisplay!$B$9:$B$20</c:f>
              <c:numCache>
                <c:formatCode>General</c:formatCode>
                <c:ptCount val="12"/>
                <c:pt idx="0">
                  <c:v>197</c:v>
                </c:pt>
                <c:pt idx="1">
                  <c:v>197</c:v>
                </c:pt>
                <c:pt idx="2">
                  <c:v>199</c:v>
                </c:pt>
                <c:pt idx="3">
                  <c:v>199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198</c:v>
                </c:pt>
                <c:pt idx="8">
                  <c:v>200</c:v>
                </c:pt>
                <c:pt idx="9">
                  <c:v>200</c:v>
                </c:pt>
                <c:pt idx="10">
                  <c:v>199</c:v>
                </c:pt>
                <c:pt idx="11">
                  <c:v>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80-4500-BF7B-754FB0C832BB}"/>
            </c:ext>
          </c:extLst>
        </c:ser>
        <c:ser>
          <c:idx val="1"/>
          <c:order val="1"/>
          <c:tx>
            <c:strRef>
              <c:f>FGDisplay!$C$8</c:f>
              <c:strCache>
                <c:ptCount val="1"/>
                <c:pt idx="0">
                  <c:v>Left-M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FGDisplay!$A$9:$A$20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FGDisplay!$C$9:$C$20</c:f>
              <c:numCache>
                <c:formatCode>General</c:formatCode>
                <c:ptCount val="12"/>
                <c:pt idx="0">
                  <c:v>197</c:v>
                </c:pt>
                <c:pt idx="1">
                  <c:v>197</c:v>
                </c:pt>
                <c:pt idx="2">
                  <c:v>199</c:v>
                </c:pt>
                <c:pt idx="3">
                  <c:v>200</c:v>
                </c:pt>
                <c:pt idx="4">
                  <c:v>202</c:v>
                </c:pt>
                <c:pt idx="5">
                  <c:v>200</c:v>
                </c:pt>
                <c:pt idx="6">
                  <c:v>201</c:v>
                </c:pt>
                <c:pt idx="7">
                  <c:v>200</c:v>
                </c:pt>
                <c:pt idx="8">
                  <c:v>200</c:v>
                </c:pt>
                <c:pt idx="9">
                  <c:v>198</c:v>
                </c:pt>
                <c:pt idx="10">
                  <c:v>199</c:v>
                </c:pt>
                <c:pt idx="11">
                  <c:v>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80-4500-BF7B-754FB0C832BB}"/>
            </c:ext>
          </c:extLst>
        </c:ser>
        <c:ser>
          <c:idx val="2"/>
          <c:order val="2"/>
          <c:tx>
            <c:strRef>
              <c:f>FGDisplay!$D$8</c:f>
              <c:strCache>
                <c:ptCount val="1"/>
                <c:pt idx="0">
                  <c:v>Left-B</c:v>
                </c:pt>
              </c:strCache>
            </c:strRef>
          </c:tx>
          <c:spPr>
            <a:ln w="190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  <a:alpha val="86000"/>
                  </a:schemeClr>
                </a:solidFill>
              </a:ln>
              <a:effectLst/>
            </c:spPr>
          </c:marker>
          <c:xVal>
            <c:numRef>
              <c:f>FGDisplay!$A$9:$A$20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FGDisplay!$D$9:$D$20</c:f>
              <c:numCache>
                <c:formatCode>General</c:formatCode>
                <c:ptCount val="12"/>
                <c:pt idx="0">
                  <c:v>203</c:v>
                </c:pt>
                <c:pt idx="1">
                  <c:v>204</c:v>
                </c:pt>
                <c:pt idx="2">
                  <c:v>207</c:v>
                </c:pt>
                <c:pt idx="3">
                  <c:v>208</c:v>
                </c:pt>
                <c:pt idx="4">
                  <c:v>210</c:v>
                </c:pt>
                <c:pt idx="5">
                  <c:v>211</c:v>
                </c:pt>
                <c:pt idx="6">
                  <c:v>213</c:v>
                </c:pt>
                <c:pt idx="7">
                  <c:v>210</c:v>
                </c:pt>
                <c:pt idx="8">
                  <c:v>212</c:v>
                </c:pt>
                <c:pt idx="9">
                  <c:v>210</c:v>
                </c:pt>
                <c:pt idx="10">
                  <c:v>211</c:v>
                </c:pt>
                <c:pt idx="11">
                  <c:v>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980-4500-BF7B-754FB0C832BB}"/>
            </c:ext>
          </c:extLst>
        </c:ser>
        <c:ser>
          <c:idx val="3"/>
          <c:order val="3"/>
          <c:tx>
            <c:strRef>
              <c:f>FGDisplay!$E$8</c:f>
              <c:strCache>
                <c:ptCount val="1"/>
                <c:pt idx="0">
                  <c:v>Center-T</c:v>
                </c:pt>
              </c:strCache>
            </c:strRef>
          </c:tx>
          <c:spPr>
            <a:ln w="19050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4">
                  <a:lumMod val="40000"/>
                  <a:lumOff val="60000"/>
                </a:schemeClr>
              </a:solidFill>
              <a:ln w="9525">
                <a:solidFill>
                  <a:schemeClr val="accent4">
                    <a:lumMod val="40000"/>
                    <a:lumOff val="60000"/>
                  </a:schemeClr>
                </a:solidFill>
              </a:ln>
              <a:effectLst/>
            </c:spPr>
          </c:marker>
          <c:xVal>
            <c:numRef>
              <c:f>FGDisplay!$A$9:$A$20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FGDisplay!$E$9:$E$20</c:f>
              <c:numCache>
                <c:formatCode>General</c:formatCode>
                <c:ptCount val="12"/>
                <c:pt idx="0">
                  <c:v>191</c:v>
                </c:pt>
                <c:pt idx="1">
                  <c:v>192</c:v>
                </c:pt>
                <c:pt idx="2">
                  <c:v>193</c:v>
                </c:pt>
                <c:pt idx="3">
                  <c:v>194</c:v>
                </c:pt>
                <c:pt idx="4">
                  <c:v>194</c:v>
                </c:pt>
                <c:pt idx="5">
                  <c:v>194</c:v>
                </c:pt>
                <c:pt idx="6">
                  <c:v>194</c:v>
                </c:pt>
                <c:pt idx="7">
                  <c:v>194</c:v>
                </c:pt>
                <c:pt idx="8">
                  <c:v>194</c:v>
                </c:pt>
                <c:pt idx="9">
                  <c:v>193</c:v>
                </c:pt>
                <c:pt idx="10">
                  <c:v>194</c:v>
                </c:pt>
                <c:pt idx="11">
                  <c:v>194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980-4500-BF7B-754FB0C832BB}"/>
            </c:ext>
          </c:extLst>
        </c:ser>
        <c:ser>
          <c:idx val="4"/>
          <c:order val="4"/>
          <c:tx>
            <c:strRef>
              <c:f>FGDisplay!$F$8</c:f>
              <c:strCache>
                <c:ptCount val="1"/>
                <c:pt idx="0">
                  <c:v>Center-M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FGDisplay!$A$9:$A$20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FGDisplay!$F$9:$F$20</c:f>
              <c:numCache>
                <c:formatCode>General</c:formatCode>
                <c:ptCount val="12"/>
                <c:pt idx="0">
                  <c:v>190</c:v>
                </c:pt>
                <c:pt idx="1">
                  <c:v>194</c:v>
                </c:pt>
                <c:pt idx="2">
                  <c:v>195</c:v>
                </c:pt>
                <c:pt idx="3">
                  <c:v>196</c:v>
                </c:pt>
                <c:pt idx="4">
                  <c:v>196</c:v>
                </c:pt>
                <c:pt idx="5">
                  <c:v>195</c:v>
                </c:pt>
                <c:pt idx="6">
                  <c:v>196</c:v>
                </c:pt>
                <c:pt idx="7">
                  <c:v>196</c:v>
                </c:pt>
                <c:pt idx="8">
                  <c:v>195</c:v>
                </c:pt>
                <c:pt idx="9">
                  <c:v>196</c:v>
                </c:pt>
                <c:pt idx="10">
                  <c:v>195</c:v>
                </c:pt>
                <c:pt idx="11">
                  <c:v>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980-4500-BF7B-754FB0C832BB}"/>
            </c:ext>
          </c:extLst>
        </c:ser>
        <c:ser>
          <c:idx val="5"/>
          <c:order val="5"/>
          <c:tx>
            <c:strRef>
              <c:f>FGDisplay!$G$8</c:f>
              <c:strCache>
                <c:ptCount val="1"/>
                <c:pt idx="0">
                  <c:v>Center-B</c:v>
                </c:pt>
              </c:strCache>
            </c:strRef>
          </c:tx>
          <c:spPr>
            <a:ln w="190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4">
                  <a:lumMod val="75000"/>
                </a:schemeClr>
              </a:solidFill>
              <a:ln w="9525">
                <a:solidFill>
                  <a:schemeClr val="accent4">
                    <a:lumMod val="75000"/>
                  </a:schemeClr>
                </a:solidFill>
              </a:ln>
              <a:effectLst/>
            </c:spPr>
          </c:marker>
          <c:xVal>
            <c:numRef>
              <c:f>FGDisplay!$A$9:$A$20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FGDisplay!$G$9:$G$20</c:f>
              <c:numCache>
                <c:formatCode>General</c:formatCode>
                <c:ptCount val="12"/>
                <c:pt idx="0">
                  <c:v>196</c:v>
                </c:pt>
                <c:pt idx="1">
                  <c:v>199</c:v>
                </c:pt>
                <c:pt idx="2">
                  <c:v>201</c:v>
                </c:pt>
                <c:pt idx="3">
                  <c:v>202</c:v>
                </c:pt>
                <c:pt idx="4">
                  <c:v>202</c:v>
                </c:pt>
                <c:pt idx="5">
                  <c:v>203</c:v>
                </c:pt>
                <c:pt idx="6">
                  <c:v>203</c:v>
                </c:pt>
                <c:pt idx="7">
                  <c:v>202</c:v>
                </c:pt>
                <c:pt idx="8">
                  <c:v>203</c:v>
                </c:pt>
                <c:pt idx="9">
                  <c:v>202</c:v>
                </c:pt>
                <c:pt idx="10">
                  <c:v>202</c:v>
                </c:pt>
                <c:pt idx="11">
                  <c:v>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980-4500-BF7B-754FB0C832BB}"/>
            </c:ext>
          </c:extLst>
        </c:ser>
        <c:ser>
          <c:idx val="6"/>
          <c:order val="6"/>
          <c:tx>
            <c:strRef>
              <c:f>FGDisplay!$H$8</c:f>
              <c:strCache>
                <c:ptCount val="1"/>
                <c:pt idx="0">
                  <c:v>Right-T</c:v>
                </c:pt>
              </c:strCache>
            </c:strRef>
          </c:tx>
          <c:spPr>
            <a:ln w="19050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chemeClr val="accent6">
                    <a:lumMod val="40000"/>
                    <a:lumOff val="60000"/>
                  </a:schemeClr>
                </a:solidFill>
              </a:ln>
              <a:effectLst/>
            </c:spPr>
          </c:marker>
          <c:xVal>
            <c:numRef>
              <c:f>FGDisplay!$A$9:$A$20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FGDisplay!$H$9:$H$20</c:f>
              <c:numCache>
                <c:formatCode>General</c:formatCode>
                <c:ptCount val="12"/>
                <c:pt idx="0">
                  <c:v>202</c:v>
                </c:pt>
                <c:pt idx="1">
                  <c:v>203</c:v>
                </c:pt>
                <c:pt idx="2">
                  <c:v>203</c:v>
                </c:pt>
                <c:pt idx="3">
                  <c:v>204</c:v>
                </c:pt>
                <c:pt idx="4">
                  <c:v>204</c:v>
                </c:pt>
                <c:pt idx="5">
                  <c:v>204</c:v>
                </c:pt>
                <c:pt idx="6">
                  <c:v>203</c:v>
                </c:pt>
                <c:pt idx="7">
                  <c:v>204</c:v>
                </c:pt>
                <c:pt idx="8">
                  <c:v>205</c:v>
                </c:pt>
                <c:pt idx="9">
                  <c:v>204</c:v>
                </c:pt>
                <c:pt idx="10">
                  <c:v>203</c:v>
                </c:pt>
                <c:pt idx="11">
                  <c:v>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980-4500-BF7B-754FB0C832BB}"/>
            </c:ext>
          </c:extLst>
        </c:ser>
        <c:ser>
          <c:idx val="7"/>
          <c:order val="7"/>
          <c:tx>
            <c:strRef>
              <c:f>FGDisplay!$I$8</c:f>
              <c:strCache>
                <c:ptCount val="1"/>
                <c:pt idx="0">
                  <c:v>Right-M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FGDisplay!$A$9:$A$20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FGDisplay!$I$9:$I$20</c:f>
              <c:numCache>
                <c:formatCode>General</c:formatCode>
                <c:ptCount val="12"/>
                <c:pt idx="0">
                  <c:v>202</c:v>
                </c:pt>
                <c:pt idx="1">
                  <c:v>204</c:v>
                </c:pt>
                <c:pt idx="2">
                  <c:v>205</c:v>
                </c:pt>
                <c:pt idx="3">
                  <c:v>205</c:v>
                </c:pt>
                <c:pt idx="4">
                  <c:v>205</c:v>
                </c:pt>
                <c:pt idx="5">
                  <c:v>206</c:v>
                </c:pt>
                <c:pt idx="6">
                  <c:v>205</c:v>
                </c:pt>
                <c:pt idx="7">
                  <c:v>205</c:v>
                </c:pt>
                <c:pt idx="8">
                  <c:v>203</c:v>
                </c:pt>
                <c:pt idx="9">
                  <c:v>205</c:v>
                </c:pt>
                <c:pt idx="10">
                  <c:v>205</c:v>
                </c:pt>
                <c:pt idx="11">
                  <c:v>205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980-4500-BF7B-754FB0C832BB}"/>
            </c:ext>
          </c:extLst>
        </c:ser>
        <c:ser>
          <c:idx val="8"/>
          <c:order val="8"/>
          <c:tx>
            <c:strRef>
              <c:f>FGDisplay!$J$8</c:f>
              <c:strCache>
                <c:ptCount val="1"/>
                <c:pt idx="0">
                  <c:v>Right-B</c:v>
                </c:pt>
              </c:strCache>
            </c:strRef>
          </c:tx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xVal>
            <c:numRef>
              <c:f>FGDisplay!$A$9:$A$20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FGDisplay!$J$9:$J$20</c:f>
              <c:numCache>
                <c:formatCode>General</c:formatCode>
                <c:ptCount val="12"/>
                <c:pt idx="0">
                  <c:v>208</c:v>
                </c:pt>
                <c:pt idx="1">
                  <c:v>210</c:v>
                </c:pt>
                <c:pt idx="2">
                  <c:v>211</c:v>
                </c:pt>
                <c:pt idx="3">
                  <c:v>212</c:v>
                </c:pt>
                <c:pt idx="4">
                  <c:v>212</c:v>
                </c:pt>
                <c:pt idx="5">
                  <c:v>212</c:v>
                </c:pt>
                <c:pt idx="6">
                  <c:v>212</c:v>
                </c:pt>
                <c:pt idx="7">
                  <c:v>212</c:v>
                </c:pt>
                <c:pt idx="8">
                  <c:v>213</c:v>
                </c:pt>
                <c:pt idx="9">
                  <c:v>212</c:v>
                </c:pt>
                <c:pt idx="10">
                  <c:v>213</c:v>
                </c:pt>
                <c:pt idx="11">
                  <c:v>213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980-4500-BF7B-754FB0C83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3178096"/>
        <c:axId val="1813173776"/>
      </c:scatterChart>
      <c:valAx>
        <c:axId val="1813178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200" b="1">
                    <a:latin typeface="+mn-ea"/>
                    <a:ea typeface="+mn-ea"/>
                  </a:rPr>
                  <a:t>起動からの時間</a:t>
                </a:r>
                <a:r>
                  <a:rPr lang="en-US" altLang="ja-JP" sz="1200" b="1">
                    <a:latin typeface="+mn-ea"/>
                    <a:ea typeface="+mn-ea"/>
                  </a:rPr>
                  <a:t>[min]</a:t>
                </a:r>
                <a:endParaRPr lang="ja-JP" altLang="en-US" sz="1200" b="1">
                  <a:latin typeface="+mn-ea"/>
                  <a:ea typeface="+mn-ea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13173776"/>
        <c:crosses val="autoZero"/>
        <c:crossBetween val="midCat"/>
      </c:valAx>
      <c:valAx>
        <c:axId val="18131737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200" b="1">
                    <a:latin typeface="+mn-ea"/>
                    <a:ea typeface="+mn-ea"/>
                  </a:rPr>
                  <a:t>輝度</a:t>
                </a:r>
                <a:r>
                  <a:rPr lang="en-US" altLang="ja-JP" sz="1200" b="1">
                    <a:latin typeface="+mn-ea"/>
                    <a:ea typeface="+mn-ea"/>
                  </a:rPr>
                  <a:t>[cd/m^2]</a:t>
                </a:r>
                <a:endParaRPr lang="ja-JP" altLang="en-US" sz="1200" b="1">
                  <a:latin typeface="+mn-ea"/>
                  <a:ea typeface="+mn-ea"/>
                </a:endParaRPr>
              </a:p>
            </c:rich>
          </c:tx>
          <c:layout>
            <c:manualLayout>
              <c:xMode val="edge"/>
              <c:yMode val="edge"/>
              <c:x val="2.5988503547634993E-2"/>
              <c:y val="0.298486861847987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13178096"/>
        <c:crosses val="autoZero"/>
        <c:crossBetween val="midCat"/>
      </c:valAx>
      <c:spPr>
        <a:noFill/>
        <a:ln>
          <a:solidFill>
            <a:schemeClr val="accent3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BGDisplay!$B$38</c:f>
              <c:strCache>
                <c:ptCount val="1"/>
                <c:pt idx="0">
                  <c:v>SetL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3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BGDisplay!$A$39:$A$89</c:f>
              <c:numCache>
                <c:formatCode>General</c:formatCode>
                <c:ptCount val="51"/>
                <c:pt idx="0">
                  <c:v>100</c:v>
                </c:pt>
                <c:pt idx="1">
                  <c:v>98</c:v>
                </c:pt>
                <c:pt idx="2">
                  <c:v>96</c:v>
                </c:pt>
                <c:pt idx="3">
                  <c:v>94</c:v>
                </c:pt>
                <c:pt idx="4">
                  <c:v>92</c:v>
                </c:pt>
                <c:pt idx="5">
                  <c:v>90</c:v>
                </c:pt>
                <c:pt idx="6">
                  <c:v>88</c:v>
                </c:pt>
                <c:pt idx="7">
                  <c:v>86</c:v>
                </c:pt>
                <c:pt idx="8">
                  <c:v>84</c:v>
                </c:pt>
                <c:pt idx="9">
                  <c:v>82</c:v>
                </c:pt>
                <c:pt idx="10">
                  <c:v>80</c:v>
                </c:pt>
                <c:pt idx="11">
                  <c:v>78</c:v>
                </c:pt>
                <c:pt idx="12">
                  <c:v>76</c:v>
                </c:pt>
                <c:pt idx="13">
                  <c:v>74</c:v>
                </c:pt>
                <c:pt idx="14">
                  <c:v>72</c:v>
                </c:pt>
                <c:pt idx="15">
                  <c:v>70</c:v>
                </c:pt>
                <c:pt idx="16">
                  <c:v>68</c:v>
                </c:pt>
                <c:pt idx="17">
                  <c:v>66</c:v>
                </c:pt>
                <c:pt idx="18">
                  <c:v>64</c:v>
                </c:pt>
                <c:pt idx="19">
                  <c:v>62</c:v>
                </c:pt>
                <c:pt idx="20">
                  <c:v>60</c:v>
                </c:pt>
                <c:pt idx="21">
                  <c:v>58</c:v>
                </c:pt>
                <c:pt idx="22">
                  <c:v>56</c:v>
                </c:pt>
                <c:pt idx="23">
                  <c:v>54</c:v>
                </c:pt>
                <c:pt idx="24">
                  <c:v>52</c:v>
                </c:pt>
                <c:pt idx="25">
                  <c:v>50</c:v>
                </c:pt>
                <c:pt idx="26">
                  <c:v>48</c:v>
                </c:pt>
                <c:pt idx="27">
                  <c:v>46</c:v>
                </c:pt>
                <c:pt idx="28">
                  <c:v>44</c:v>
                </c:pt>
                <c:pt idx="29">
                  <c:v>42</c:v>
                </c:pt>
                <c:pt idx="30">
                  <c:v>40</c:v>
                </c:pt>
                <c:pt idx="31">
                  <c:v>38</c:v>
                </c:pt>
                <c:pt idx="32">
                  <c:v>36</c:v>
                </c:pt>
                <c:pt idx="33">
                  <c:v>34</c:v>
                </c:pt>
                <c:pt idx="34">
                  <c:v>32</c:v>
                </c:pt>
                <c:pt idx="35">
                  <c:v>30</c:v>
                </c:pt>
                <c:pt idx="36">
                  <c:v>28</c:v>
                </c:pt>
                <c:pt idx="37">
                  <c:v>26</c:v>
                </c:pt>
                <c:pt idx="38">
                  <c:v>24</c:v>
                </c:pt>
                <c:pt idx="39">
                  <c:v>22</c:v>
                </c:pt>
                <c:pt idx="40">
                  <c:v>20</c:v>
                </c:pt>
                <c:pt idx="41">
                  <c:v>18</c:v>
                </c:pt>
                <c:pt idx="42">
                  <c:v>16</c:v>
                </c:pt>
                <c:pt idx="43">
                  <c:v>14</c:v>
                </c:pt>
                <c:pt idx="44">
                  <c:v>12</c:v>
                </c:pt>
                <c:pt idx="45">
                  <c:v>10</c:v>
                </c:pt>
                <c:pt idx="46">
                  <c:v>8</c:v>
                </c:pt>
                <c:pt idx="47">
                  <c:v>6</c:v>
                </c:pt>
                <c:pt idx="48">
                  <c:v>4</c:v>
                </c:pt>
                <c:pt idx="49">
                  <c:v>2</c:v>
                </c:pt>
                <c:pt idx="50">
                  <c:v>0</c:v>
                </c:pt>
              </c:numCache>
            </c:numRef>
          </c:xVal>
          <c:yVal>
            <c:numRef>
              <c:f>BGDisplay!$B$39:$B$89</c:f>
              <c:numCache>
                <c:formatCode>General</c:formatCode>
                <c:ptCount val="51"/>
                <c:pt idx="0">
                  <c:v>231</c:v>
                </c:pt>
                <c:pt idx="1">
                  <c:v>227</c:v>
                </c:pt>
                <c:pt idx="2">
                  <c:v>223</c:v>
                </c:pt>
                <c:pt idx="3">
                  <c:v>219</c:v>
                </c:pt>
                <c:pt idx="4">
                  <c:v>215</c:v>
                </c:pt>
                <c:pt idx="5">
                  <c:v>210</c:v>
                </c:pt>
                <c:pt idx="6">
                  <c:v>205</c:v>
                </c:pt>
                <c:pt idx="7">
                  <c:v>201</c:v>
                </c:pt>
                <c:pt idx="8">
                  <c:v>197</c:v>
                </c:pt>
                <c:pt idx="9">
                  <c:v>193</c:v>
                </c:pt>
                <c:pt idx="10">
                  <c:v>188</c:v>
                </c:pt>
                <c:pt idx="11">
                  <c:v>184</c:v>
                </c:pt>
                <c:pt idx="12">
                  <c:v>180</c:v>
                </c:pt>
                <c:pt idx="13">
                  <c:v>175</c:v>
                </c:pt>
                <c:pt idx="14">
                  <c:v>170</c:v>
                </c:pt>
                <c:pt idx="15">
                  <c:v>166</c:v>
                </c:pt>
                <c:pt idx="16">
                  <c:v>161</c:v>
                </c:pt>
                <c:pt idx="17">
                  <c:v>157</c:v>
                </c:pt>
                <c:pt idx="18">
                  <c:v>152</c:v>
                </c:pt>
                <c:pt idx="19">
                  <c:v>148</c:v>
                </c:pt>
                <c:pt idx="20">
                  <c:v>143</c:v>
                </c:pt>
                <c:pt idx="21">
                  <c:v>138</c:v>
                </c:pt>
                <c:pt idx="22">
                  <c:v>134</c:v>
                </c:pt>
                <c:pt idx="23">
                  <c:v>129</c:v>
                </c:pt>
                <c:pt idx="24">
                  <c:v>124</c:v>
                </c:pt>
                <c:pt idx="25">
                  <c:v>120</c:v>
                </c:pt>
                <c:pt idx="26">
                  <c:v>116</c:v>
                </c:pt>
                <c:pt idx="27">
                  <c:v>113</c:v>
                </c:pt>
                <c:pt idx="28">
                  <c:v>110</c:v>
                </c:pt>
                <c:pt idx="29">
                  <c:v>106</c:v>
                </c:pt>
                <c:pt idx="30">
                  <c:v>103</c:v>
                </c:pt>
                <c:pt idx="31">
                  <c:v>99</c:v>
                </c:pt>
                <c:pt idx="32">
                  <c:v>95</c:v>
                </c:pt>
                <c:pt idx="33">
                  <c:v>92</c:v>
                </c:pt>
                <c:pt idx="34">
                  <c:v>89</c:v>
                </c:pt>
                <c:pt idx="35">
                  <c:v>85</c:v>
                </c:pt>
                <c:pt idx="36">
                  <c:v>81</c:v>
                </c:pt>
                <c:pt idx="37">
                  <c:v>78</c:v>
                </c:pt>
                <c:pt idx="38">
                  <c:v>75</c:v>
                </c:pt>
                <c:pt idx="39">
                  <c:v>71</c:v>
                </c:pt>
                <c:pt idx="40">
                  <c:v>67</c:v>
                </c:pt>
                <c:pt idx="41">
                  <c:v>64</c:v>
                </c:pt>
                <c:pt idx="42">
                  <c:v>60</c:v>
                </c:pt>
                <c:pt idx="43">
                  <c:v>57</c:v>
                </c:pt>
                <c:pt idx="44">
                  <c:v>53</c:v>
                </c:pt>
                <c:pt idx="45">
                  <c:v>49</c:v>
                </c:pt>
                <c:pt idx="46">
                  <c:v>46</c:v>
                </c:pt>
                <c:pt idx="47">
                  <c:v>42</c:v>
                </c:pt>
                <c:pt idx="48">
                  <c:v>39</c:v>
                </c:pt>
                <c:pt idx="49">
                  <c:v>35</c:v>
                </c:pt>
                <c:pt idx="50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A9-4281-B51F-702F2F093808}"/>
            </c:ext>
          </c:extLst>
        </c:ser>
        <c:ser>
          <c:idx val="1"/>
          <c:order val="1"/>
          <c:tx>
            <c:strRef>
              <c:f>BGDisplay!$C$38</c:f>
              <c:strCache>
                <c:ptCount val="1"/>
                <c:pt idx="0">
                  <c:v>SetC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triangle"/>
            <c:size val="3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BGDisplay!$A$39:$A$89</c:f>
              <c:numCache>
                <c:formatCode>General</c:formatCode>
                <c:ptCount val="51"/>
                <c:pt idx="0">
                  <c:v>100</c:v>
                </c:pt>
                <c:pt idx="1">
                  <c:v>98</c:v>
                </c:pt>
                <c:pt idx="2">
                  <c:v>96</c:v>
                </c:pt>
                <c:pt idx="3">
                  <c:v>94</c:v>
                </c:pt>
                <c:pt idx="4">
                  <c:v>92</c:v>
                </c:pt>
                <c:pt idx="5">
                  <c:v>90</c:v>
                </c:pt>
                <c:pt idx="6">
                  <c:v>88</c:v>
                </c:pt>
                <c:pt idx="7">
                  <c:v>86</c:v>
                </c:pt>
                <c:pt idx="8">
                  <c:v>84</c:v>
                </c:pt>
                <c:pt idx="9">
                  <c:v>82</c:v>
                </c:pt>
                <c:pt idx="10">
                  <c:v>80</c:v>
                </c:pt>
                <c:pt idx="11">
                  <c:v>78</c:v>
                </c:pt>
                <c:pt idx="12">
                  <c:v>76</c:v>
                </c:pt>
                <c:pt idx="13">
                  <c:v>74</c:v>
                </c:pt>
                <c:pt idx="14">
                  <c:v>72</c:v>
                </c:pt>
                <c:pt idx="15">
                  <c:v>70</c:v>
                </c:pt>
                <c:pt idx="16">
                  <c:v>68</c:v>
                </c:pt>
                <c:pt idx="17">
                  <c:v>66</c:v>
                </c:pt>
                <c:pt idx="18">
                  <c:v>64</c:v>
                </c:pt>
                <c:pt idx="19">
                  <c:v>62</c:v>
                </c:pt>
                <c:pt idx="20">
                  <c:v>60</c:v>
                </c:pt>
                <c:pt idx="21">
                  <c:v>58</c:v>
                </c:pt>
                <c:pt idx="22">
                  <c:v>56</c:v>
                </c:pt>
                <c:pt idx="23">
                  <c:v>54</c:v>
                </c:pt>
                <c:pt idx="24">
                  <c:v>52</c:v>
                </c:pt>
                <c:pt idx="25">
                  <c:v>50</c:v>
                </c:pt>
                <c:pt idx="26">
                  <c:v>48</c:v>
                </c:pt>
                <c:pt idx="27">
                  <c:v>46</c:v>
                </c:pt>
                <c:pt idx="28">
                  <c:v>44</c:v>
                </c:pt>
                <c:pt idx="29">
                  <c:v>42</c:v>
                </c:pt>
                <c:pt idx="30">
                  <c:v>40</c:v>
                </c:pt>
                <c:pt idx="31">
                  <c:v>38</c:v>
                </c:pt>
                <c:pt idx="32">
                  <c:v>36</c:v>
                </c:pt>
                <c:pt idx="33">
                  <c:v>34</c:v>
                </c:pt>
                <c:pt idx="34">
                  <c:v>32</c:v>
                </c:pt>
                <c:pt idx="35">
                  <c:v>30</c:v>
                </c:pt>
                <c:pt idx="36">
                  <c:v>28</c:v>
                </c:pt>
                <c:pt idx="37">
                  <c:v>26</c:v>
                </c:pt>
                <c:pt idx="38">
                  <c:v>24</c:v>
                </c:pt>
                <c:pt idx="39">
                  <c:v>22</c:v>
                </c:pt>
                <c:pt idx="40">
                  <c:v>20</c:v>
                </c:pt>
                <c:pt idx="41">
                  <c:v>18</c:v>
                </c:pt>
                <c:pt idx="42">
                  <c:v>16</c:v>
                </c:pt>
                <c:pt idx="43">
                  <c:v>14</c:v>
                </c:pt>
                <c:pt idx="44">
                  <c:v>12</c:v>
                </c:pt>
                <c:pt idx="45">
                  <c:v>10</c:v>
                </c:pt>
                <c:pt idx="46">
                  <c:v>8</c:v>
                </c:pt>
                <c:pt idx="47">
                  <c:v>6</c:v>
                </c:pt>
                <c:pt idx="48">
                  <c:v>4</c:v>
                </c:pt>
                <c:pt idx="49">
                  <c:v>2</c:v>
                </c:pt>
                <c:pt idx="50">
                  <c:v>0</c:v>
                </c:pt>
              </c:numCache>
            </c:numRef>
          </c:xVal>
          <c:yVal>
            <c:numRef>
              <c:f>BGDisplay!$C$39:$C$89</c:f>
              <c:numCache>
                <c:formatCode>General</c:formatCode>
                <c:ptCount val="51"/>
                <c:pt idx="0">
                  <c:v>216</c:v>
                </c:pt>
                <c:pt idx="1">
                  <c:v>212</c:v>
                </c:pt>
                <c:pt idx="2">
                  <c:v>208</c:v>
                </c:pt>
                <c:pt idx="3">
                  <c:v>204</c:v>
                </c:pt>
                <c:pt idx="4">
                  <c:v>200</c:v>
                </c:pt>
                <c:pt idx="5">
                  <c:v>196</c:v>
                </c:pt>
                <c:pt idx="6">
                  <c:v>192</c:v>
                </c:pt>
                <c:pt idx="7">
                  <c:v>188</c:v>
                </c:pt>
                <c:pt idx="8">
                  <c:v>184</c:v>
                </c:pt>
                <c:pt idx="9">
                  <c:v>180</c:v>
                </c:pt>
                <c:pt idx="10">
                  <c:v>176</c:v>
                </c:pt>
                <c:pt idx="11">
                  <c:v>172</c:v>
                </c:pt>
                <c:pt idx="12">
                  <c:v>168</c:v>
                </c:pt>
                <c:pt idx="13">
                  <c:v>163</c:v>
                </c:pt>
                <c:pt idx="14">
                  <c:v>159</c:v>
                </c:pt>
                <c:pt idx="15">
                  <c:v>155</c:v>
                </c:pt>
                <c:pt idx="16">
                  <c:v>150</c:v>
                </c:pt>
                <c:pt idx="17">
                  <c:v>145</c:v>
                </c:pt>
                <c:pt idx="18">
                  <c:v>142</c:v>
                </c:pt>
                <c:pt idx="19">
                  <c:v>138</c:v>
                </c:pt>
                <c:pt idx="20">
                  <c:v>134</c:v>
                </c:pt>
                <c:pt idx="21">
                  <c:v>129</c:v>
                </c:pt>
                <c:pt idx="22">
                  <c:v>124</c:v>
                </c:pt>
                <c:pt idx="23">
                  <c:v>120</c:v>
                </c:pt>
                <c:pt idx="24">
                  <c:v>116</c:v>
                </c:pt>
                <c:pt idx="25">
                  <c:v>112</c:v>
                </c:pt>
                <c:pt idx="26">
                  <c:v>108</c:v>
                </c:pt>
                <c:pt idx="27">
                  <c:v>105</c:v>
                </c:pt>
                <c:pt idx="28">
                  <c:v>102</c:v>
                </c:pt>
                <c:pt idx="29">
                  <c:v>99</c:v>
                </c:pt>
                <c:pt idx="30">
                  <c:v>95</c:v>
                </c:pt>
                <c:pt idx="31">
                  <c:v>92</c:v>
                </c:pt>
                <c:pt idx="32">
                  <c:v>88</c:v>
                </c:pt>
                <c:pt idx="33">
                  <c:v>86</c:v>
                </c:pt>
                <c:pt idx="34">
                  <c:v>82</c:v>
                </c:pt>
                <c:pt idx="35">
                  <c:v>79</c:v>
                </c:pt>
                <c:pt idx="36">
                  <c:v>75</c:v>
                </c:pt>
                <c:pt idx="37">
                  <c:v>72</c:v>
                </c:pt>
                <c:pt idx="38">
                  <c:v>69</c:v>
                </c:pt>
                <c:pt idx="39">
                  <c:v>66</c:v>
                </c:pt>
                <c:pt idx="40">
                  <c:v>62</c:v>
                </c:pt>
                <c:pt idx="41">
                  <c:v>59</c:v>
                </c:pt>
                <c:pt idx="42">
                  <c:v>55</c:v>
                </c:pt>
                <c:pt idx="43">
                  <c:v>52</c:v>
                </c:pt>
                <c:pt idx="44">
                  <c:v>49</c:v>
                </c:pt>
                <c:pt idx="45">
                  <c:v>47</c:v>
                </c:pt>
                <c:pt idx="46">
                  <c:v>42</c:v>
                </c:pt>
                <c:pt idx="47">
                  <c:v>38</c:v>
                </c:pt>
                <c:pt idx="48">
                  <c:v>35</c:v>
                </c:pt>
                <c:pt idx="49">
                  <c:v>32</c:v>
                </c:pt>
                <c:pt idx="50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A9-4281-B51F-702F2F093808}"/>
            </c:ext>
          </c:extLst>
        </c:ser>
        <c:ser>
          <c:idx val="2"/>
          <c:order val="2"/>
          <c:tx>
            <c:strRef>
              <c:f>BGDisplay!$D$38</c:f>
              <c:strCache>
                <c:ptCount val="1"/>
                <c:pt idx="0">
                  <c:v>SetR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3"/>
            <c:spPr>
              <a:noFill/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BGDisplay!$A$39:$A$89</c:f>
              <c:numCache>
                <c:formatCode>General</c:formatCode>
                <c:ptCount val="51"/>
                <c:pt idx="0">
                  <c:v>100</c:v>
                </c:pt>
                <c:pt idx="1">
                  <c:v>98</c:v>
                </c:pt>
                <c:pt idx="2">
                  <c:v>96</c:v>
                </c:pt>
                <c:pt idx="3">
                  <c:v>94</c:v>
                </c:pt>
                <c:pt idx="4">
                  <c:v>92</c:v>
                </c:pt>
                <c:pt idx="5">
                  <c:v>90</c:v>
                </c:pt>
                <c:pt idx="6">
                  <c:v>88</c:v>
                </c:pt>
                <c:pt idx="7">
                  <c:v>86</c:v>
                </c:pt>
                <c:pt idx="8">
                  <c:v>84</c:v>
                </c:pt>
                <c:pt idx="9">
                  <c:v>82</c:v>
                </c:pt>
                <c:pt idx="10">
                  <c:v>80</c:v>
                </c:pt>
                <c:pt idx="11">
                  <c:v>78</c:v>
                </c:pt>
                <c:pt idx="12">
                  <c:v>76</c:v>
                </c:pt>
                <c:pt idx="13">
                  <c:v>74</c:v>
                </c:pt>
                <c:pt idx="14">
                  <c:v>72</c:v>
                </c:pt>
                <c:pt idx="15">
                  <c:v>70</c:v>
                </c:pt>
                <c:pt idx="16">
                  <c:v>68</c:v>
                </c:pt>
                <c:pt idx="17">
                  <c:v>66</c:v>
                </c:pt>
                <c:pt idx="18">
                  <c:v>64</c:v>
                </c:pt>
                <c:pt idx="19">
                  <c:v>62</c:v>
                </c:pt>
                <c:pt idx="20">
                  <c:v>60</c:v>
                </c:pt>
                <c:pt idx="21">
                  <c:v>58</c:v>
                </c:pt>
                <c:pt idx="22">
                  <c:v>56</c:v>
                </c:pt>
                <c:pt idx="23">
                  <c:v>54</c:v>
                </c:pt>
                <c:pt idx="24">
                  <c:v>52</c:v>
                </c:pt>
                <c:pt idx="25">
                  <c:v>50</c:v>
                </c:pt>
                <c:pt idx="26">
                  <c:v>48</c:v>
                </c:pt>
                <c:pt idx="27">
                  <c:v>46</c:v>
                </c:pt>
                <c:pt idx="28">
                  <c:v>44</c:v>
                </c:pt>
                <c:pt idx="29">
                  <c:v>42</c:v>
                </c:pt>
                <c:pt idx="30">
                  <c:v>40</c:v>
                </c:pt>
                <c:pt idx="31">
                  <c:v>38</c:v>
                </c:pt>
                <c:pt idx="32">
                  <c:v>36</c:v>
                </c:pt>
                <c:pt idx="33">
                  <c:v>34</c:v>
                </c:pt>
                <c:pt idx="34">
                  <c:v>32</c:v>
                </c:pt>
                <c:pt idx="35">
                  <c:v>30</c:v>
                </c:pt>
                <c:pt idx="36">
                  <c:v>28</c:v>
                </c:pt>
                <c:pt idx="37">
                  <c:v>26</c:v>
                </c:pt>
                <c:pt idx="38">
                  <c:v>24</c:v>
                </c:pt>
                <c:pt idx="39">
                  <c:v>22</c:v>
                </c:pt>
                <c:pt idx="40">
                  <c:v>20</c:v>
                </c:pt>
                <c:pt idx="41">
                  <c:v>18</c:v>
                </c:pt>
                <c:pt idx="42">
                  <c:v>16</c:v>
                </c:pt>
                <c:pt idx="43">
                  <c:v>14</c:v>
                </c:pt>
                <c:pt idx="44">
                  <c:v>12</c:v>
                </c:pt>
                <c:pt idx="45">
                  <c:v>10</c:v>
                </c:pt>
                <c:pt idx="46">
                  <c:v>8</c:v>
                </c:pt>
                <c:pt idx="47">
                  <c:v>6</c:v>
                </c:pt>
                <c:pt idx="48">
                  <c:v>4</c:v>
                </c:pt>
                <c:pt idx="49">
                  <c:v>2</c:v>
                </c:pt>
                <c:pt idx="50">
                  <c:v>0</c:v>
                </c:pt>
              </c:numCache>
            </c:numRef>
          </c:xVal>
          <c:yVal>
            <c:numRef>
              <c:f>BGDisplay!$D$39:$D$89</c:f>
              <c:numCache>
                <c:formatCode>General</c:formatCode>
                <c:ptCount val="51"/>
                <c:pt idx="0">
                  <c:v>216</c:v>
                </c:pt>
                <c:pt idx="1">
                  <c:v>212</c:v>
                </c:pt>
                <c:pt idx="2">
                  <c:v>208</c:v>
                </c:pt>
                <c:pt idx="3">
                  <c:v>204</c:v>
                </c:pt>
                <c:pt idx="4">
                  <c:v>200</c:v>
                </c:pt>
                <c:pt idx="5">
                  <c:v>195</c:v>
                </c:pt>
                <c:pt idx="6">
                  <c:v>192</c:v>
                </c:pt>
                <c:pt idx="7">
                  <c:v>188</c:v>
                </c:pt>
                <c:pt idx="8">
                  <c:v>183</c:v>
                </c:pt>
                <c:pt idx="9">
                  <c:v>180</c:v>
                </c:pt>
                <c:pt idx="10">
                  <c:v>175</c:v>
                </c:pt>
                <c:pt idx="11">
                  <c:v>171</c:v>
                </c:pt>
                <c:pt idx="12">
                  <c:v>167</c:v>
                </c:pt>
                <c:pt idx="13">
                  <c:v>162</c:v>
                </c:pt>
                <c:pt idx="14">
                  <c:v>158</c:v>
                </c:pt>
                <c:pt idx="15">
                  <c:v>154</c:v>
                </c:pt>
                <c:pt idx="16">
                  <c:v>150</c:v>
                </c:pt>
                <c:pt idx="17">
                  <c:v>145</c:v>
                </c:pt>
                <c:pt idx="18">
                  <c:v>141</c:v>
                </c:pt>
                <c:pt idx="19">
                  <c:v>137</c:v>
                </c:pt>
                <c:pt idx="20">
                  <c:v>133</c:v>
                </c:pt>
                <c:pt idx="21">
                  <c:v>128</c:v>
                </c:pt>
                <c:pt idx="22">
                  <c:v>124</c:v>
                </c:pt>
                <c:pt idx="23">
                  <c:v>120</c:v>
                </c:pt>
                <c:pt idx="24">
                  <c:v>115</c:v>
                </c:pt>
                <c:pt idx="25">
                  <c:v>111</c:v>
                </c:pt>
                <c:pt idx="26">
                  <c:v>108</c:v>
                </c:pt>
                <c:pt idx="27">
                  <c:v>104</c:v>
                </c:pt>
                <c:pt idx="28">
                  <c:v>102</c:v>
                </c:pt>
                <c:pt idx="29">
                  <c:v>98</c:v>
                </c:pt>
                <c:pt idx="30">
                  <c:v>95</c:v>
                </c:pt>
                <c:pt idx="31">
                  <c:v>91</c:v>
                </c:pt>
                <c:pt idx="32">
                  <c:v>88</c:v>
                </c:pt>
                <c:pt idx="33">
                  <c:v>85</c:v>
                </c:pt>
                <c:pt idx="34">
                  <c:v>82</c:v>
                </c:pt>
                <c:pt idx="35">
                  <c:v>78</c:v>
                </c:pt>
                <c:pt idx="36">
                  <c:v>75</c:v>
                </c:pt>
                <c:pt idx="37">
                  <c:v>71</c:v>
                </c:pt>
                <c:pt idx="38">
                  <c:v>69</c:v>
                </c:pt>
                <c:pt idx="39">
                  <c:v>65</c:v>
                </c:pt>
                <c:pt idx="40">
                  <c:v>62</c:v>
                </c:pt>
                <c:pt idx="41">
                  <c:v>58</c:v>
                </c:pt>
                <c:pt idx="42">
                  <c:v>55</c:v>
                </c:pt>
                <c:pt idx="43">
                  <c:v>52</c:v>
                </c:pt>
                <c:pt idx="44">
                  <c:v>48</c:v>
                </c:pt>
                <c:pt idx="45">
                  <c:v>45</c:v>
                </c:pt>
                <c:pt idx="46">
                  <c:v>41</c:v>
                </c:pt>
                <c:pt idx="47">
                  <c:v>38</c:v>
                </c:pt>
                <c:pt idx="48">
                  <c:v>35</c:v>
                </c:pt>
                <c:pt idx="49">
                  <c:v>31</c:v>
                </c:pt>
                <c:pt idx="50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A9-4281-B51F-702F2F093808}"/>
            </c:ext>
          </c:extLst>
        </c:ser>
        <c:ser>
          <c:idx val="3"/>
          <c:order val="3"/>
          <c:tx>
            <c:strRef>
              <c:f>BGDisplay!$E$38</c:f>
              <c:strCache>
                <c:ptCount val="1"/>
                <c:pt idx="0">
                  <c:v>YL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BGDisplay!$A$39:$A$89</c:f>
              <c:numCache>
                <c:formatCode>General</c:formatCode>
                <c:ptCount val="51"/>
                <c:pt idx="0">
                  <c:v>100</c:v>
                </c:pt>
                <c:pt idx="1">
                  <c:v>98</c:v>
                </c:pt>
                <c:pt idx="2">
                  <c:v>96</c:v>
                </c:pt>
                <c:pt idx="3">
                  <c:v>94</c:v>
                </c:pt>
                <c:pt idx="4">
                  <c:v>92</c:v>
                </c:pt>
                <c:pt idx="5">
                  <c:v>90</c:v>
                </c:pt>
                <c:pt idx="6">
                  <c:v>88</c:v>
                </c:pt>
                <c:pt idx="7">
                  <c:v>86</c:v>
                </c:pt>
                <c:pt idx="8">
                  <c:v>84</c:v>
                </c:pt>
                <c:pt idx="9">
                  <c:v>82</c:v>
                </c:pt>
                <c:pt idx="10">
                  <c:v>80</c:v>
                </c:pt>
                <c:pt idx="11">
                  <c:v>78</c:v>
                </c:pt>
                <c:pt idx="12">
                  <c:v>76</c:v>
                </c:pt>
                <c:pt idx="13">
                  <c:v>74</c:v>
                </c:pt>
                <c:pt idx="14">
                  <c:v>72</c:v>
                </c:pt>
                <c:pt idx="15">
                  <c:v>70</c:v>
                </c:pt>
                <c:pt idx="16">
                  <c:v>68</c:v>
                </c:pt>
                <c:pt idx="17">
                  <c:v>66</c:v>
                </c:pt>
                <c:pt idx="18">
                  <c:v>64</c:v>
                </c:pt>
                <c:pt idx="19">
                  <c:v>62</c:v>
                </c:pt>
                <c:pt idx="20">
                  <c:v>60</c:v>
                </c:pt>
                <c:pt idx="21">
                  <c:v>58</c:v>
                </c:pt>
                <c:pt idx="22">
                  <c:v>56</c:v>
                </c:pt>
                <c:pt idx="23">
                  <c:v>54</c:v>
                </c:pt>
                <c:pt idx="24">
                  <c:v>52</c:v>
                </c:pt>
                <c:pt idx="25">
                  <c:v>50</c:v>
                </c:pt>
                <c:pt idx="26">
                  <c:v>48</c:v>
                </c:pt>
                <c:pt idx="27">
                  <c:v>46</c:v>
                </c:pt>
                <c:pt idx="28">
                  <c:v>44</c:v>
                </c:pt>
                <c:pt idx="29">
                  <c:v>42</c:v>
                </c:pt>
                <c:pt idx="30">
                  <c:v>40</c:v>
                </c:pt>
                <c:pt idx="31">
                  <c:v>38</c:v>
                </c:pt>
                <c:pt idx="32">
                  <c:v>36</c:v>
                </c:pt>
                <c:pt idx="33">
                  <c:v>34</c:v>
                </c:pt>
                <c:pt idx="34">
                  <c:v>32</c:v>
                </c:pt>
                <c:pt idx="35">
                  <c:v>30</c:v>
                </c:pt>
                <c:pt idx="36">
                  <c:v>28</c:v>
                </c:pt>
                <c:pt idx="37">
                  <c:v>26</c:v>
                </c:pt>
                <c:pt idx="38">
                  <c:v>24</c:v>
                </c:pt>
                <c:pt idx="39">
                  <c:v>22</c:v>
                </c:pt>
                <c:pt idx="40">
                  <c:v>20</c:v>
                </c:pt>
                <c:pt idx="41">
                  <c:v>18</c:v>
                </c:pt>
                <c:pt idx="42">
                  <c:v>16</c:v>
                </c:pt>
                <c:pt idx="43">
                  <c:v>14</c:v>
                </c:pt>
                <c:pt idx="44">
                  <c:v>12</c:v>
                </c:pt>
                <c:pt idx="45">
                  <c:v>10</c:v>
                </c:pt>
                <c:pt idx="46">
                  <c:v>8</c:v>
                </c:pt>
                <c:pt idx="47">
                  <c:v>6</c:v>
                </c:pt>
                <c:pt idx="48">
                  <c:v>4</c:v>
                </c:pt>
                <c:pt idx="49">
                  <c:v>2</c:v>
                </c:pt>
                <c:pt idx="50">
                  <c:v>0</c:v>
                </c:pt>
              </c:numCache>
            </c:numRef>
          </c:xVal>
          <c:yVal>
            <c:numRef>
              <c:f>BGDisplay!$E$39:$E$89</c:f>
              <c:numCache>
                <c:formatCode>General</c:formatCode>
                <c:ptCount val="51"/>
                <c:pt idx="0">
                  <c:v>232</c:v>
                </c:pt>
                <c:pt idx="5">
                  <c:v>214</c:v>
                </c:pt>
                <c:pt idx="10">
                  <c:v>190</c:v>
                </c:pt>
                <c:pt idx="15">
                  <c:v>169</c:v>
                </c:pt>
                <c:pt idx="20">
                  <c:v>149</c:v>
                </c:pt>
                <c:pt idx="25">
                  <c:v>126</c:v>
                </c:pt>
                <c:pt idx="30">
                  <c:v>102</c:v>
                </c:pt>
                <c:pt idx="35">
                  <c:v>78</c:v>
                </c:pt>
                <c:pt idx="40">
                  <c:v>52</c:v>
                </c:pt>
                <c:pt idx="45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43-4B6B-9AB1-5E78BC04D32B}"/>
            </c:ext>
          </c:extLst>
        </c:ser>
        <c:ser>
          <c:idx val="4"/>
          <c:order val="4"/>
          <c:tx>
            <c:strRef>
              <c:f>BGDisplay!$F$38</c:f>
              <c:strCache>
                <c:ptCount val="1"/>
                <c:pt idx="0">
                  <c:v>YC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BGDisplay!$A$39:$A$89</c:f>
              <c:numCache>
                <c:formatCode>General</c:formatCode>
                <c:ptCount val="51"/>
                <c:pt idx="0">
                  <c:v>100</c:v>
                </c:pt>
                <c:pt idx="1">
                  <c:v>98</c:v>
                </c:pt>
                <c:pt idx="2">
                  <c:v>96</c:v>
                </c:pt>
                <c:pt idx="3">
                  <c:v>94</c:v>
                </c:pt>
                <c:pt idx="4">
                  <c:v>92</c:v>
                </c:pt>
                <c:pt idx="5">
                  <c:v>90</c:v>
                </c:pt>
                <c:pt idx="6">
                  <c:v>88</c:v>
                </c:pt>
                <c:pt idx="7">
                  <c:v>86</c:v>
                </c:pt>
                <c:pt idx="8">
                  <c:v>84</c:v>
                </c:pt>
                <c:pt idx="9">
                  <c:v>82</c:v>
                </c:pt>
                <c:pt idx="10">
                  <c:v>80</c:v>
                </c:pt>
                <c:pt idx="11">
                  <c:v>78</c:v>
                </c:pt>
                <c:pt idx="12">
                  <c:v>76</c:v>
                </c:pt>
                <c:pt idx="13">
                  <c:v>74</c:v>
                </c:pt>
                <c:pt idx="14">
                  <c:v>72</c:v>
                </c:pt>
                <c:pt idx="15">
                  <c:v>70</c:v>
                </c:pt>
                <c:pt idx="16">
                  <c:v>68</c:v>
                </c:pt>
                <c:pt idx="17">
                  <c:v>66</c:v>
                </c:pt>
                <c:pt idx="18">
                  <c:v>64</c:v>
                </c:pt>
                <c:pt idx="19">
                  <c:v>62</c:v>
                </c:pt>
                <c:pt idx="20">
                  <c:v>60</c:v>
                </c:pt>
                <c:pt idx="21">
                  <c:v>58</c:v>
                </c:pt>
                <c:pt idx="22">
                  <c:v>56</c:v>
                </c:pt>
                <c:pt idx="23">
                  <c:v>54</c:v>
                </c:pt>
                <c:pt idx="24">
                  <c:v>52</c:v>
                </c:pt>
                <c:pt idx="25">
                  <c:v>50</c:v>
                </c:pt>
                <c:pt idx="26">
                  <c:v>48</c:v>
                </c:pt>
                <c:pt idx="27">
                  <c:v>46</c:v>
                </c:pt>
                <c:pt idx="28">
                  <c:v>44</c:v>
                </c:pt>
                <c:pt idx="29">
                  <c:v>42</c:v>
                </c:pt>
                <c:pt idx="30">
                  <c:v>40</c:v>
                </c:pt>
                <c:pt idx="31">
                  <c:v>38</c:v>
                </c:pt>
                <c:pt idx="32">
                  <c:v>36</c:v>
                </c:pt>
                <c:pt idx="33">
                  <c:v>34</c:v>
                </c:pt>
                <c:pt idx="34">
                  <c:v>32</c:v>
                </c:pt>
                <c:pt idx="35">
                  <c:v>30</c:v>
                </c:pt>
                <c:pt idx="36">
                  <c:v>28</c:v>
                </c:pt>
                <c:pt idx="37">
                  <c:v>26</c:v>
                </c:pt>
                <c:pt idx="38">
                  <c:v>24</c:v>
                </c:pt>
                <c:pt idx="39">
                  <c:v>22</c:v>
                </c:pt>
                <c:pt idx="40">
                  <c:v>20</c:v>
                </c:pt>
                <c:pt idx="41">
                  <c:v>18</c:v>
                </c:pt>
                <c:pt idx="42">
                  <c:v>16</c:v>
                </c:pt>
                <c:pt idx="43">
                  <c:v>14</c:v>
                </c:pt>
                <c:pt idx="44">
                  <c:v>12</c:v>
                </c:pt>
                <c:pt idx="45">
                  <c:v>10</c:v>
                </c:pt>
                <c:pt idx="46">
                  <c:v>8</c:v>
                </c:pt>
                <c:pt idx="47">
                  <c:v>6</c:v>
                </c:pt>
                <c:pt idx="48">
                  <c:v>4</c:v>
                </c:pt>
                <c:pt idx="49">
                  <c:v>2</c:v>
                </c:pt>
                <c:pt idx="50">
                  <c:v>0</c:v>
                </c:pt>
              </c:numCache>
            </c:numRef>
          </c:xVal>
          <c:yVal>
            <c:numRef>
              <c:f>BGDisplay!$F$39:$F$89</c:f>
              <c:numCache>
                <c:formatCode>General</c:formatCode>
                <c:ptCount val="51"/>
                <c:pt idx="0">
                  <c:v>217</c:v>
                </c:pt>
                <c:pt idx="5">
                  <c:v>201</c:v>
                </c:pt>
                <c:pt idx="10">
                  <c:v>179</c:v>
                </c:pt>
                <c:pt idx="15">
                  <c:v>161</c:v>
                </c:pt>
                <c:pt idx="20">
                  <c:v>142</c:v>
                </c:pt>
                <c:pt idx="25">
                  <c:v>120</c:v>
                </c:pt>
                <c:pt idx="30">
                  <c:v>97</c:v>
                </c:pt>
                <c:pt idx="35">
                  <c:v>74</c:v>
                </c:pt>
                <c:pt idx="40">
                  <c:v>51</c:v>
                </c:pt>
                <c:pt idx="45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43-4B6B-9AB1-5E78BC04D32B}"/>
            </c:ext>
          </c:extLst>
        </c:ser>
        <c:ser>
          <c:idx val="5"/>
          <c:order val="5"/>
          <c:tx>
            <c:strRef>
              <c:f>BGDisplay!$G$38</c:f>
              <c:strCache>
                <c:ptCount val="1"/>
                <c:pt idx="0">
                  <c:v>YR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BGDisplay!$A$39:$A$89</c:f>
              <c:numCache>
                <c:formatCode>General</c:formatCode>
                <c:ptCount val="51"/>
                <c:pt idx="0">
                  <c:v>100</c:v>
                </c:pt>
                <c:pt idx="1">
                  <c:v>98</c:v>
                </c:pt>
                <c:pt idx="2">
                  <c:v>96</c:v>
                </c:pt>
                <c:pt idx="3">
                  <c:v>94</c:v>
                </c:pt>
                <c:pt idx="4">
                  <c:v>92</c:v>
                </c:pt>
                <c:pt idx="5">
                  <c:v>90</c:v>
                </c:pt>
                <c:pt idx="6">
                  <c:v>88</c:v>
                </c:pt>
                <c:pt idx="7">
                  <c:v>86</c:v>
                </c:pt>
                <c:pt idx="8">
                  <c:v>84</c:v>
                </c:pt>
                <c:pt idx="9">
                  <c:v>82</c:v>
                </c:pt>
                <c:pt idx="10">
                  <c:v>80</c:v>
                </c:pt>
                <c:pt idx="11">
                  <c:v>78</c:v>
                </c:pt>
                <c:pt idx="12">
                  <c:v>76</c:v>
                </c:pt>
                <c:pt idx="13">
                  <c:v>74</c:v>
                </c:pt>
                <c:pt idx="14">
                  <c:v>72</c:v>
                </c:pt>
                <c:pt idx="15">
                  <c:v>70</c:v>
                </c:pt>
                <c:pt idx="16">
                  <c:v>68</c:v>
                </c:pt>
                <c:pt idx="17">
                  <c:v>66</c:v>
                </c:pt>
                <c:pt idx="18">
                  <c:v>64</c:v>
                </c:pt>
                <c:pt idx="19">
                  <c:v>62</c:v>
                </c:pt>
                <c:pt idx="20">
                  <c:v>60</c:v>
                </c:pt>
                <c:pt idx="21">
                  <c:v>58</c:v>
                </c:pt>
                <c:pt idx="22">
                  <c:v>56</c:v>
                </c:pt>
                <c:pt idx="23">
                  <c:v>54</c:v>
                </c:pt>
                <c:pt idx="24">
                  <c:v>52</c:v>
                </c:pt>
                <c:pt idx="25">
                  <c:v>50</c:v>
                </c:pt>
                <c:pt idx="26">
                  <c:v>48</c:v>
                </c:pt>
                <c:pt idx="27">
                  <c:v>46</c:v>
                </c:pt>
                <c:pt idx="28">
                  <c:v>44</c:v>
                </c:pt>
                <c:pt idx="29">
                  <c:v>42</c:v>
                </c:pt>
                <c:pt idx="30">
                  <c:v>40</c:v>
                </c:pt>
                <c:pt idx="31">
                  <c:v>38</c:v>
                </c:pt>
                <c:pt idx="32">
                  <c:v>36</c:v>
                </c:pt>
                <c:pt idx="33">
                  <c:v>34</c:v>
                </c:pt>
                <c:pt idx="34">
                  <c:v>32</c:v>
                </c:pt>
                <c:pt idx="35">
                  <c:v>30</c:v>
                </c:pt>
                <c:pt idx="36">
                  <c:v>28</c:v>
                </c:pt>
                <c:pt idx="37">
                  <c:v>26</c:v>
                </c:pt>
                <c:pt idx="38">
                  <c:v>24</c:v>
                </c:pt>
                <c:pt idx="39">
                  <c:v>22</c:v>
                </c:pt>
                <c:pt idx="40">
                  <c:v>20</c:v>
                </c:pt>
                <c:pt idx="41">
                  <c:v>18</c:v>
                </c:pt>
                <c:pt idx="42">
                  <c:v>16</c:v>
                </c:pt>
                <c:pt idx="43">
                  <c:v>14</c:v>
                </c:pt>
                <c:pt idx="44">
                  <c:v>12</c:v>
                </c:pt>
                <c:pt idx="45">
                  <c:v>10</c:v>
                </c:pt>
                <c:pt idx="46">
                  <c:v>8</c:v>
                </c:pt>
                <c:pt idx="47">
                  <c:v>6</c:v>
                </c:pt>
                <c:pt idx="48">
                  <c:v>4</c:v>
                </c:pt>
                <c:pt idx="49">
                  <c:v>2</c:v>
                </c:pt>
                <c:pt idx="50">
                  <c:v>0</c:v>
                </c:pt>
              </c:numCache>
            </c:numRef>
          </c:xVal>
          <c:yVal>
            <c:numRef>
              <c:f>BGDisplay!$G$39:$G$89</c:f>
              <c:numCache>
                <c:formatCode>General</c:formatCode>
                <c:ptCount val="51"/>
                <c:pt idx="0">
                  <c:v>214</c:v>
                </c:pt>
                <c:pt idx="5">
                  <c:v>197</c:v>
                </c:pt>
                <c:pt idx="10">
                  <c:v>175</c:v>
                </c:pt>
                <c:pt idx="15">
                  <c:v>155</c:v>
                </c:pt>
                <c:pt idx="20">
                  <c:v>137</c:v>
                </c:pt>
                <c:pt idx="25">
                  <c:v>114</c:v>
                </c:pt>
                <c:pt idx="30">
                  <c:v>92</c:v>
                </c:pt>
                <c:pt idx="35">
                  <c:v>69</c:v>
                </c:pt>
                <c:pt idx="40">
                  <c:v>46</c:v>
                </c:pt>
                <c:pt idx="45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043-4B6B-9AB1-5E78BC04D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6291696"/>
        <c:axId val="326277296"/>
      </c:scatterChart>
      <c:valAx>
        <c:axId val="326291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26277296"/>
        <c:crosses val="autoZero"/>
        <c:crossBetween val="midCat"/>
      </c:valAx>
      <c:valAx>
        <c:axId val="32627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262916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43458780459556"/>
          <c:y val="8.9953703703703702E-2"/>
          <c:w val="0.82323197353247757"/>
          <c:h val="0.62556248177311169"/>
        </c:manualLayout>
      </c:layout>
      <c:scatterChart>
        <c:scatterStyle val="lineMarker"/>
        <c:varyColors val="0"/>
        <c:ser>
          <c:idx val="0"/>
          <c:order val="0"/>
          <c:tx>
            <c:strRef>
              <c:f>BGDisplay!$B$8</c:f>
              <c:strCache>
                <c:ptCount val="1"/>
                <c:pt idx="0">
                  <c:v>Left-T</c:v>
                </c:pt>
              </c:strCache>
            </c:strRef>
          </c:tx>
          <c:spPr>
            <a:ln w="19050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1">
                  <a:lumMod val="40000"/>
                  <a:lumOff val="60000"/>
                </a:schemeClr>
              </a:solidFill>
              <a:ln w="9525">
                <a:solidFill>
                  <a:schemeClr val="accent1">
                    <a:lumMod val="40000"/>
                    <a:lumOff val="60000"/>
                  </a:schemeClr>
                </a:solidFill>
              </a:ln>
              <a:effectLst/>
            </c:spPr>
          </c:marker>
          <c:xVal>
            <c:numRef>
              <c:f>BGDisplay!$A$9:$A$20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BGDisplay!$B$9:$B$20</c:f>
              <c:numCache>
                <c:formatCode>General</c:formatCode>
                <c:ptCount val="12"/>
                <c:pt idx="0">
                  <c:v>219</c:v>
                </c:pt>
                <c:pt idx="1">
                  <c:v>221</c:v>
                </c:pt>
                <c:pt idx="2">
                  <c:v>223</c:v>
                </c:pt>
                <c:pt idx="3">
                  <c:v>225</c:v>
                </c:pt>
                <c:pt idx="4">
                  <c:v>225</c:v>
                </c:pt>
                <c:pt idx="5">
                  <c:v>224</c:v>
                </c:pt>
                <c:pt idx="6">
                  <c:v>226</c:v>
                </c:pt>
                <c:pt idx="7">
                  <c:v>228</c:v>
                </c:pt>
                <c:pt idx="8">
                  <c:v>228</c:v>
                </c:pt>
                <c:pt idx="9">
                  <c:v>230</c:v>
                </c:pt>
                <c:pt idx="10">
                  <c:v>226</c:v>
                </c:pt>
                <c:pt idx="11">
                  <c:v>229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DA-4A50-9060-82A6C298BED9}"/>
            </c:ext>
          </c:extLst>
        </c:ser>
        <c:ser>
          <c:idx val="1"/>
          <c:order val="1"/>
          <c:tx>
            <c:strRef>
              <c:f>BGDisplay!$C$8</c:f>
              <c:strCache>
                <c:ptCount val="1"/>
                <c:pt idx="0">
                  <c:v>Left-M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BGDisplay!$A$9:$A$20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BGDisplay!$C$9:$C$20</c:f>
              <c:numCache>
                <c:formatCode>General</c:formatCode>
                <c:ptCount val="12"/>
                <c:pt idx="0">
                  <c:v>220</c:v>
                </c:pt>
                <c:pt idx="1">
                  <c:v>224</c:v>
                </c:pt>
                <c:pt idx="2">
                  <c:v>225</c:v>
                </c:pt>
                <c:pt idx="3">
                  <c:v>228</c:v>
                </c:pt>
                <c:pt idx="4">
                  <c:v>229</c:v>
                </c:pt>
                <c:pt idx="5">
                  <c:v>229</c:v>
                </c:pt>
                <c:pt idx="6">
                  <c:v>230</c:v>
                </c:pt>
                <c:pt idx="7">
                  <c:v>231</c:v>
                </c:pt>
                <c:pt idx="8">
                  <c:v>232</c:v>
                </c:pt>
                <c:pt idx="9">
                  <c:v>231</c:v>
                </c:pt>
                <c:pt idx="10">
                  <c:v>232</c:v>
                </c:pt>
                <c:pt idx="11">
                  <c:v>231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DA-4A50-9060-82A6C298BED9}"/>
            </c:ext>
          </c:extLst>
        </c:ser>
        <c:ser>
          <c:idx val="2"/>
          <c:order val="2"/>
          <c:tx>
            <c:strRef>
              <c:f>BGDisplay!$D$8</c:f>
              <c:strCache>
                <c:ptCount val="1"/>
                <c:pt idx="0">
                  <c:v>Left-B</c:v>
                </c:pt>
              </c:strCache>
            </c:strRef>
          </c:tx>
          <c:spPr>
            <a:ln w="190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  <a:alpha val="86000"/>
                  </a:schemeClr>
                </a:solidFill>
              </a:ln>
              <a:effectLst/>
            </c:spPr>
          </c:marker>
          <c:xVal>
            <c:numRef>
              <c:f>BGDisplay!$A$9:$A$20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BGDisplay!$D$9:$D$20</c:f>
              <c:numCache>
                <c:formatCode>General</c:formatCode>
                <c:ptCount val="12"/>
                <c:pt idx="0">
                  <c:v>219</c:v>
                </c:pt>
                <c:pt idx="1">
                  <c:v>224</c:v>
                </c:pt>
                <c:pt idx="2">
                  <c:v>226</c:v>
                </c:pt>
                <c:pt idx="3">
                  <c:v>227</c:v>
                </c:pt>
                <c:pt idx="4">
                  <c:v>229</c:v>
                </c:pt>
                <c:pt idx="5">
                  <c:v>227</c:v>
                </c:pt>
                <c:pt idx="6">
                  <c:v>229</c:v>
                </c:pt>
                <c:pt idx="7">
                  <c:v>232</c:v>
                </c:pt>
                <c:pt idx="8">
                  <c:v>232</c:v>
                </c:pt>
                <c:pt idx="9">
                  <c:v>233</c:v>
                </c:pt>
                <c:pt idx="10">
                  <c:v>230</c:v>
                </c:pt>
                <c:pt idx="11">
                  <c:v>231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9DA-4A50-9060-82A6C298BED9}"/>
            </c:ext>
          </c:extLst>
        </c:ser>
        <c:ser>
          <c:idx val="3"/>
          <c:order val="3"/>
          <c:tx>
            <c:strRef>
              <c:f>BGDisplay!$E$8</c:f>
              <c:strCache>
                <c:ptCount val="1"/>
                <c:pt idx="0">
                  <c:v>Center-T</c:v>
                </c:pt>
              </c:strCache>
            </c:strRef>
          </c:tx>
          <c:spPr>
            <a:ln w="19050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4">
                  <a:lumMod val="40000"/>
                  <a:lumOff val="60000"/>
                </a:schemeClr>
              </a:solidFill>
              <a:ln w="9525">
                <a:solidFill>
                  <a:schemeClr val="accent4">
                    <a:lumMod val="40000"/>
                    <a:lumOff val="60000"/>
                  </a:schemeClr>
                </a:solidFill>
              </a:ln>
              <a:effectLst/>
            </c:spPr>
          </c:marker>
          <c:xVal>
            <c:numRef>
              <c:f>BGDisplay!$A$9:$A$20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BGDisplay!$E$9:$E$20</c:f>
              <c:numCache>
                <c:formatCode>General</c:formatCode>
                <c:ptCount val="12"/>
                <c:pt idx="0">
                  <c:v>201</c:v>
                </c:pt>
                <c:pt idx="1">
                  <c:v>205</c:v>
                </c:pt>
                <c:pt idx="2">
                  <c:v>208</c:v>
                </c:pt>
                <c:pt idx="3">
                  <c:v>208</c:v>
                </c:pt>
                <c:pt idx="4">
                  <c:v>209</c:v>
                </c:pt>
                <c:pt idx="5">
                  <c:v>210</c:v>
                </c:pt>
                <c:pt idx="6">
                  <c:v>211</c:v>
                </c:pt>
                <c:pt idx="7">
                  <c:v>211</c:v>
                </c:pt>
                <c:pt idx="8">
                  <c:v>213</c:v>
                </c:pt>
                <c:pt idx="9">
                  <c:v>213</c:v>
                </c:pt>
                <c:pt idx="10">
                  <c:v>213</c:v>
                </c:pt>
                <c:pt idx="11">
                  <c:v>213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9DA-4A50-9060-82A6C298BED9}"/>
            </c:ext>
          </c:extLst>
        </c:ser>
        <c:ser>
          <c:idx val="4"/>
          <c:order val="4"/>
          <c:tx>
            <c:strRef>
              <c:f>BGDisplay!$F$8</c:f>
              <c:strCache>
                <c:ptCount val="1"/>
                <c:pt idx="0">
                  <c:v>Center-M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BGDisplay!$A$9:$A$20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BGDisplay!$F$9:$F$20</c:f>
              <c:numCache>
                <c:formatCode>General</c:formatCode>
                <c:ptCount val="12"/>
                <c:pt idx="0">
                  <c:v>201</c:v>
                </c:pt>
                <c:pt idx="1">
                  <c:v>206</c:v>
                </c:pt>
                <c:pt idx="2">
                  <c:v>208</c:v>
                </c:pt>
                <c:pt idx="3">
                  <c:v>212</c:v>
                </c:pt>
                <c:pt idx="4">
                  <c:v>213</c:v>
                </c:pt>
                <c:pt idx="5">
                  <c:v>212</c:v>
                </c:pt>
                <c:pt idx="6">
                  <c:v>214</c:v>
                </c:pt>
                <c:pt idx="7">
                  <c:v>214</c:v>
                </c:pt>
                <c:pt idx="8">
                  <c:v>215</c:v>
                </c:pt>
                <c:pt idx="9">
                  <c:v>215</c:v>
                </c:pt>
                <c:pt idx="10">
                  <c:v>216</c:v>
                </c:pt>
                <c:pt idx="11">
                  <c:v>216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9DA-4A50-9060-82A6C298BED9}"/>
            </c:ext>
          </c:extLst>
        </c:ser>
        <c:ser>
          <c:idx val="5"/>
          <c:order val="5"/>
          <c:tx>
            <c:strRef>
              <c:f>BGDisplay!$G$8</c:f>
              <c:strCache>
                <c:ptCount val="1"/>
                <c:pt idx="0">
                  <c:v>Center-B</c:v>
                </c:pt>
              </c:strCache>
            </c:strRef>
          </c:tx>
          <c:spPr>
            <a:ln w="190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4">
                  <a:lumMod val="75000"/>
                </a:schemeClr>
              </a:solidFill>
              <a:ln w="9525">
                <a:solidFill>
                  <a:schemeClr val="accent4">
                    <a:lumMod val="75000"/>
                  </a:schemeClr>
                </a:solidFill>
              </a:ln>
              <a:effectLst/>
            </c:spPr>
          </c:marker>
          <c:xVal>
            <c:numRef>
              <c:f>BGDisplay!$A$9:$A$20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BGDisplay!$G$9:$G$20</c:f>
              <c:numCache>
                <c:formatCode>General</c:formatCode>
                <c:ptCount val="12"/>
                <c:pt idx="0">
                  <c:v>201</c:v>
                </c:pt>
                <c:pt idx="1">
                  <c:v>204</c:v>
                </c:pt>
                <c:pt idx="2">
                  <c:v>205</c:v>
                </c:pt>
                <c:pt idx="3">
                  <c:v>209</c:v>
                </c:pt>
                <c:pt idx="4">
                  <c:v>210</c:v>
                </c:pt>
                <c:pt idx="5">
                  <c:v>209</c:v>
                </c:pt>
                <c:pt idx="6">
                  <c:v>211</c:v>
                </c:pt>
                <c:pt idx="7">
                  <c:v>211</c:v>
                </c:pt>
                <c:pt idx="8">
                  <c:v>213</c:v>
                </c:pt>
                <c:pt idx="9">
                  <c:v>212</c:v>
                </c:pt>
                <c:pt idx="10">
                  <c:v>212</c:v>
                </c:pt>
                <c:pt idx="11">
                  <c:v>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9DA-4A50-9060-82A6C298BED9}"/>
            </c:ext>
          </c:extLst>
        </c:ser>
        <c:ser>
          <c:idx val="6"/>
          <c:order val="6"/>
          <c:tx>
            <c:strRef>
              <c:f>BGDisplay!$H$8</c:f>
              <c:strCache>
                <c:ptCount val="1"/>
                <c:pt idx="0">
                  <c:v>Right-T</c:v>
                </c:pt>
              </c:strCache>
            </c:strRef>
          </c:tx>
          <c:spPr>
            <a:ln w="19050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chemeClr val="accent6">
                    <a:lumMod val="40000"/>
                    <a:lumOff val="60000"/>
                  </a:schemeClr>
                </a:solidFill>
              </a:ln>
              <a:effectLst/>
            </c:spPr>
          </c:marker>
          <c:xVal>
            <c:numRef>
              <c:f>BGDisplay!$A$9:$A$20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BGDisplay!$H$9:$H$20</c:f>
              <c:numCache>
                <c:formatCode>General</c:formatCode>
                <c:ptCount val="12"/>
                <c:pt idx="0">
                  <c:v>206</c:v>
                </c:pt>
                <c:pt idx="1">
                  <c:v>210</c:v>
                </c:pt>
                <c:pt idx="2">
                  <c:v>212</c:v>
                </c:pt>
                <c:pt idx="3">
                  <c:v>214</c:v>
                </c:pt>
                <c:pt idx="4">
                  <c:v>213</c:v>
                </c:pt>
                <c:pt idx="5">
                  <c:v>214</c:v>
                </c:pt>
                <c:pt idx="6">
                  <c:v>216</c:v>
                </c:pt>
                <c:pt idx="7">
                  <c:v>217</c:v>
                </c:pt>
                <c:pt idx="8">
                  <c:v>217</c:v>
                </c:pt>
                <c:pt idx="9">
                  <c:v>217</c:v>
                </c:pt>
                <c:pt idx="10">
                  <c:v>217</c:v>
                </c:pt>
                <c:pt idx="11">
                  <c:v>218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9DA-4A50-9060-82A6C298BED9}"/>
            </c:ext>
          </c:extLst>
        </c:ser>
        <c:ser>
          <c:idx val="7"/>
          <c:order val="7"/>
          <c:tx>
            <c:strRef>
              <c:f>BGDisplay!$I$8</c:f>
              <c:strCache>
                <c:ptCount val="1"/>
                <c:pt idx="0">
                  <c:v>Right-M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BGDisplay!$A$9:$A$20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BGDisplay!$I$9:$I$20</c:f>
              <c:numCache>
                <c:formatCode>General</c:formatCode>
                <c:ptCount val="12"/>
                <c:pt idx="0">
                  <c:v>204</c:v>
                </c:pt>
                <c:pt idx="1">
                  <c:v>209</c:v>
                </c:pt>
                <c:pt idx="2">
                  <c:v>210</c:v>
                </c:pt>
                <c:pt idx="3">
                  <c:v>213</c:v>
                </c:pt>
                <c:pt idx="4">
                  <c:v>214</c:v>
                </c:pt>
                <c:pt idx="5">
                  <c:v>213</c:v>
                </c:pt>
                <c:pt idx="6">
                  <c:v>216</c:v>
                </c:pt>
                <c:pt idx="7">
                  <c:v>215</c:v>
                </c:pt>
                <c:pt idx="8">
                  <c:v>217</c:v>
                </c:pt>
                <c:pt idx="9">
                  <c:v>217</c:v>
                </c:pt>
                <c:pt idx="10">
                  <c:v>218</c:v>
                </c:pt>
                <c:pt idx="11">
                  <c:v>217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9DA-4A50-9060-82A6C298BED9}"/>
            </c:ext>
          </c:extLst>
        </c:ser>
        <c:ser>
          <c:idx val="8"/>
          <c:order val="8"/>
          <c:tx>
            <c:strRef>
              <c:f>BGDisplay!$J$8</c:f>
              <c:strCache>
                <c:ptCount val="1"/>
                <c:pt idx="0">
                  <c:v>Right-B</c:v>
                </c:pt>
              </c:strCache>
            </c:strRef>
          </c:tx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xVal>
            <c:numRef>
              <c:f>BGDisplay!$A$9:$A$20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BGDisplay!$J$9:$J$20</c:f>
              <c:numCache>
                <c:formatCode>General</c:formatCode>
                <c:ptCount val="12"/>
                <c:pt idx="0">
                  <c:v>201</c:v>
                </c:pt>
                <c:pt idx="1">
                  <c:v>206</c:v>
                </c:pt>
                <c:pt idx="2">
                  <c:v>208</c:v>
                </c:pt>
                <c:pt idx="3">
                  <c:v>210</c:v>
                </c:pt>
                <c:pt idx="4">
                  <c:v>209</c:v>
                </c:pt>
                <c:pt idx="5">
                  <c:v>209</c:v>
                </c:pt>
                <c:pt idx="6">
                  <c:v>212</c:v>
                </c:pt>
                <c:pt idx="7">
                  <c:v>212</c:v>
                </c:pt>
                <c:pt idx="8">
                  <c:v>214</c:v>
                </c:pt>
                <c:pt idx="9">
                  <c:v>212</c:v>
                </c:pt>
                <c:pt idx="10">
                  <c:v>214</c:v>
                </c:pt>
                <c:pt idx="11">
                  <c:v>213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9DA-4A50-9060-82A6C298B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3178096"/>
        <c:axId val="1813173776"/>
      </c:scatterChart>
      <c:valAx>
        <c:axId val="1813178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200" b="1">
                    <a:latin typeface="+mn-ea"/>
                    <a:ea typeface="+mn-ea"/>
                  </a:rPr>
                  <a:t>起動からの時間</a:t>
                </a:r>
                <a:r>
                  <a:rPr lang="en-US" altLang="ja-JP" sz="1200" b="1">
                    <a:latin typeface="+mn-ea"/>
                    <a:ea typeface="+mn-ea"/>
                  </a:rPr>
                  <a:t>[min]</a:t>
                </a:r>
                <a:endParaRPr lang="ja-JP" altLang="en-US" sz="1200" b="1">
                  <a:latin typeface="+mn-ea"/>
                  <a:ea typeface="+mn-ea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13173776"/>
        <c:crosses val="autoZero"/>
        <c:crossBetween val="midCat"/>
      </c:valAx>
      <c:valAx>
        <c:axId val="18131737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200" b="1">
                    <a:latin typeface="+mn-ea"/>
                    <a:ea typeface="+mn-ea"/>
                  </a:rPr>
                  <a:t>輝度</a:t>
                </a:r>
                <a:r>
                  <a:rPr lang="en-US" altLang="ja-JP" sz="1200" b="1">
                    <a:latin typeface="+mn-ea"/>
                    <a:ea typeface="+mn-ea"/>
                  </a:rPr>
                  <a:t>[cd/m^2]</a:t>
                </a:r>
                <a:endParaRPr lang="ja-JP" altLang="en-US" sz="1200" b="1">
                  <a:latin typeface="+mn-ea"/>
                  <a:ea typeface="+mn-ea"/>
                </a:endParaRPr>
              </a:p>
            </c:rich>
          </c:tx>
          <c:layout>
            <c:manualLayout>
              <c:xMode val="edge"/>
              <c:yMode val="edge"/>
              <c:x val="2.5988503547634993E-2"/>
              <c:y val="0.298486861847987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13178096"/>
        <c:crosses val="autoZero"/>
        <c:crossBetween val="midCat"/>
      </c:valAx>
      <c:spPr>
        <a:noFill/>
        <a:ln>
          <a:solidFill>
            <a:schemeClr val="accent3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567152230971129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BGDisplay!$A$32</c:f>
              <c:strCache>
                <c:ptCount val="1"/>
                <c:pt idx="0">
                  <c:v>Top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BGDisplay!$B$31:$J$31</c:f>
              <c:numCache>
                <c:formatCode>General</c:formatCode>
                <c:ptCount val="9"/>
                <c:pt idx="0">
                  <c:v>6</c:v>
                </c:pt>
                <c:pt idx="1">
                  <c:v>12</c:v>
                </c:pt>
                <c:pt idx="2">
                  <c:v>18</c:v>
                </c:pt>
                <c:pt idx="3">
                  <c:v>24</c:v>
                </c:pt>
                <c:pt idx="4">
                  <c:v>30</c:v>
                </c:pt>
                <c:pt idx="5">
                  <c:v>36</c:v>
                </c:pt>
                <c:pt idx="6">
                  <c:v>42</c:v>
                </c:pt>
                <c:pt idx="7">
                  <c:v>48</c:v>
                </c:pt>
                <c:pt idx="8">
                  <c:v>54</c:v>
                </c:pt>
              </c:numCache>
            </c:numRef>
          </c:xVal>
          <c:yVal>
            <c:numRef>
              <c:f>BGDisplay!$B$32:$J$32</c:f>
              <c:numCache>
                <c:formatCode>General</c:formatCode>
                <c:ptCount val="9"/>
                <c:pt idx="0">
                  <c:v>230</c:v>
                </c:pt>
                <c:pt idx="1">
                  <c:v>232</c:v>
                </c:pt>
                <c:pt idx="2">
                  <c:v>224</c:v>
                </c:pt>
                <c:pt idx="3">
                  <c:v>218</c:v>
                </c:pt>
                <c:pt idx="4">
                  <c:v>214</c:v>
                </c:pt>
                <c:pt idx="5">
                  <c:v>214</c:v>
                </c:pt>
                <c:pt idx="6">
                  <c:v>216</c:v>
                </c:pt>
                <c:pt idx="7">
                  <c:v>219</c:v>
                </c:pt>
                <c:pt idx="8">
                  <c:v>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AF-4988-8413-74D63F3E0DFA}"/>
            </c:ext>
          </c:extLst>
        </c:ser>
        <c:ser>
          <c:idx val="1"/>
          <c:order val="1"/>
          <c:tx>
            <c:strRef>
              <c:f>BGDisplay!$A$33</c:f>
              <c:strCache>
                <c:ptCount val="1"/>
                <c:pt idx="0">
                  <c:v>Middle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BGDisplay!$B$31:$J$31</c:f>
              <c:numCache>
                <c:formatCode>General</c:formatCode>
                <c:ptCount val="9"/>
                <c:pt idx="0">
                  <c:v>6</c:v>
                </c:pt>
                <c:pt idx="1">
                  <c:v>12</c:v>
                </c:pt>
                <c:pt idx="2">
                  <c:v>18</c:v>
                </c:pt>
                <c:pt idx="3">
                  <c:v>24</c:v>
                </c:pt>
                <c:pt idx="4">
                  <c:v>30</c:v>
                </c:pt>
                <c:pt idx="5">
                  <c:v>36</c:v>
                </c:pt>
                <c:pt idx="6">
                  <c:v>42</c:v>
                </c:pt>
                <c:pt idx="7">
                  <c:v>48</c:v>
                </c:pt>
                <c:pt idx="8">
                  <c:v>54</c:v>
                </c:pt>
              </c:numCache>
            </c:numRef>
          </c:xVal>
          <c:yVal>
            <c:numRef>
              <c:f>BGDisplay!$B$33:$J$33</c:f>
              <c:numCache>
                <c:formatCode>General</c:formatCode>
                <c:ptCount val="9"/>
                <c:pt idx="0">
                  <c:v>235</c:v>
                </c:pt>
                <c:pt idx="1">
                  <c:v>235</c:v>
                </c:pt>
                <c:pt idx="2">
                  <c:v>227</c:v>
                </c:pt>
                <c:pt idx="3">
                  <c:v>220</c:v>
                </c:pt>
                <c:pt idx="4">
                  <c:v>216</c:v>
                </c:pt>
                <c:pt idx="5">
                  <c:v>215</c:v>
                </c:pt>
                <c:pt idx="6">
                  <c:v>215</c:v>
                </c:pt>
                <c:pt idx="7">
                  <c:v>216</c:v>
                </c:pt>
                <c:pt idx="8">
                  <c:v>217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AF-4988-8413-74D63F3E0DFA}"/>
            </c:ext>
          </c:extLst>
        </c:ser>
        <c:ser>
          <c:idx val="2"/>
          <c:order val="2"/>
          <c:tx>
            <c:strRef>
              <c:f>BGDisplay!$A$34</c:f>
              <c:strCache>
                <c:ptCount val="1"/>
                <c:pt idx="0">
                  <c:v>Bottom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BGDisplay!$B$31:$J$31</c:f>
              <c:numCache>
                <c:formatCode>General</c:formatCode>
                <c:ptCount val="9"/>
                <c:pt idx="0">
                  <c:v>6</c:v>
                </c:pt>
                <c:pt idx="1">
                  <c:v>12</c:v>
                </c:pt>
                <c:pt idx="2">
                  <c:v>18</c:v>
                </c:pt>
                <c:pt idx="3">
                  <c:v>24</c:v>
                </c:pt>
                <c:pt idx="4">
                  <c:v>30</c:v>
                </c:pt>
                <c:pt idx="5">
                  <c:v>36</c:v>
                </c:pt>
                <c:pt idx="6">
                  <c:v>42</c:v>
                </c:pt>
                <c:pt idx="7">
                  <c:v>48</c:v>
                </c:pt>
                <c:pt idx="8">
                  <c:v>54</c:v>
                </c:pt>
              </c:numCache>
            </c:numRef>
          </c:xVal>
          <c:yVal>
            <c:numRef>
              <c:f>BGDisplay!$B$34:$J$34</c:f>
              <c:numCache>
                <c:formatCode>General</c:formatCode>
                <c:ptCount val="9"/>
                <c:pt idx="0">
                  <c:v>244</c:v>
                </c:pt>
                <c:pt idx="1">
                  <c:v>232</c:v>
                </c:pt>
                <c:pt idx="2">
                  <c:v>223</c:v>
                </c:pt>
                <c:pt idx="3">
                  <c:v>216</c:v>
                </c:pt>
                <c:pt idx="4">
                  <c:v>210</c:v>
                </c:pt>
                <c:pt idx="5">
                  <c:v>210</c:v>
                </c:pt>
                <c:pt idx="6">
                  <c:v>212</c:v>
                </c:pt>
                <c:pt idx="7">
                  <c:v>214</c:v>
                </c:pt>
                <c:pt idx="8">
                  <c:v>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AAF-4988-8413-74D63F3E0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0188656"/>
        <c:axId val="1800205456"/>
      </c:scatterChart>
      <c:valAx>
        <c:axId val="1800188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00205456"/>
        <c:crosses val="autoZero"/>
        <c:crossBetween val="midCat"/>
      </c:valAx>
      <c:valAx>
        <c:axId val="180020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00188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9.3136482939632545E-2"/>
          <c:y val="0.20569444444444446"/>
          <c:w val="0.87119685039370076"/>
          <c:h val="0.58563247302420529"/>
        </c:manualLayout>
      </c:layout>
      <c:scatterChart>
        <c:scatterStyle val="lineMarker"/>
        <c:varyColors val="0"/>
        <c:ser>
          <c:idx val="0"/>
          <c:order val="0"/>
          <c:tx>
            <c:strRef>
              <c:f>BGDisplay!$F$38</c:f>
              <c:strCache>
                <c:ptCount val="1"/>
                <c:pt idx="0">
                  <c:v>YC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BGDisplay!$E$39:$E$89</c:f>
              <c:numCache>
                <c:formatCode>General</c:formatCode>
                <c:ptCount val="51"/>
                <c:pt idx="0">
                  <c:v>232</c:v>
                </c:pt>
                <c:pt idx="5">
                  <c:v>214</c:v>
                </c:pt>
                <c:pt idx="10">
                  <c:v>190</c:v>
                </c:pt>
                <c:pt idx="15">
                  <c:v>169</c:v>
                </c:pt>
                <c:pt idx="20">
                  <c:v>149</c:v>
                </c:pt>
                <c:pt idx="25">
                  <c:v>126</c:v>
                </c:pt>
                <c:pt idx="30">
                  <c:v>102</c:v>
                </c:pt>
                <c:pt idx="35">
                  <c:v>78</c:v>
                </c:pt>
                <c:pt idx="40">
                  <c:v>52</c:v>
                </c:pt>
                <c:pt idx="45">
                  <c:v>27</c:v>
                </c:pt>
              </c:numCache>
            </c:numRef>
          </c:xVal>
          <c:yVal>
            <c:numRef>
              <c:f>BGDisplay!$F$39:$F$89</c:f>
              <c:numCache>
                <c:formatCode>General</c:formatCode>
                <c:ptCount val="51"/>
                <c:pt idx="0">
                  <c:v>217</c:v>
                </c:pt>
                <c:pt idx="5">
                  <c:v>201</c:v>
                </c:pt>
                <c:pt idx="10">
                  <c:v>179</c:v>
                </c:pt>
                <c:pt idx="15">
                  <c:v>161</c:v>
                </c:pt>
                <c:pt idx="20">
                  <c:v>142</c:v>
                </c:pt>
                <c:pt idx="25">
                  <c:v>120</c:v>
                </c:pt>
                <c:pt idx="30">
                  <c:v>97</c:v>
                </c:pt>
                <c:pt idx="35">
                  <c:v>74</c:v>
                </c:pt>
                <c:pt idx="40">
                  <c:v>51</c:v>
                </c:pt>
                <c:pt idx="45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72-4525-B10B-F6390FA877FA}"/>
            </c:ext>
          </c:extLst>
        </c:ser>
        <c:ser>
          <c:idx val="1"/>
          <c:order val="1"/>
          <c:tx>
            <c:strRef>
              <c:f>BGDisplay!$G$38</c:f>
              <c:strCache>
                <c:ptCount val="1"/>
                <c:pt idx="0">
                  <c:v>YR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BGDisplay!$E$39:$E$89</c:f>
              <c:numCache>
                <c:formatCode>General</c:formatCode>
                <c:ptCount val="51"/>
                <c:pt idx="0">
                  <c:v>232</c:v>
                </c:pt>
                <c:pt idx="5">
                  <c:v>214</c:v>
                </c:pt>
                <c:pt idx="10">
                  <c:v>190</c:v>
                </c:pt>
                <c:pt idx="15">
                  <c:v>169</c:v>
                </c:pt>
                <c:pt idx="20">
                  <c:v>149</c:v>
                </c:pt>
                <c:pt idx="25">
                  <c:v>126</c:v>
                </c:pt>
                <c:pt idx="30">
                  <c:v>102</c:v>
                </c:pt>
                <c:pt idx="35">
                  <c:v>78</c:v>
                </c:pt>
                <c:pt idx="40">
                  <c:v>52</c:v>
                </c:pt>
                <c:pt idx="45">
                  <c:v>27</c:v>
                </c:pt>
              </c:numCache>
            </c:numRef>
          </c:xVal>
          <c:yVal>
            <c:numRef>
              <c:f>BGDisplay!$G$39:$G$89</c:f>
              <c:numCache>
                <c:formatCode>General</c:formatCode>
                <c:ptCount val="51"/>
                <c:pt idx="0">
                  <c:v>214</c:v>
                </c:pt>
                <c:pt idx="5">
                  <c:v>197</c:v>
                </c:pt>
                <c:pt idx="10">
                  <c:v>175</c:v>
                </c:pt>
                <c:pt idx="15">
                  <c:v>155</c:v>
                </c:pt>
                <c:pt idx="20">
                  <c:v>137</c:v>
                </c:pt>
                <c:pt idx="25">
                  <c:v>114</c:v>
                </c:pt>
                <c:pt idx="30">
                  <c:v>92</c:v>
                </c:pt>
                <c:pt idx="35">
                  <c:v>69</c:v>
                </c:pt>
                <c:pt idx="40">
                  <c:v>46</c:v>
                </c:pt>
                <c:pt idx="45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72-4525-B10B-F6390FA877FA}"/>
            </c:ext>
          </c:extLst>
        </c:ser>
        <c:ser>
          <c:idx val="2"/>
          <c:order val="2"/>
          <c:tx>
            <c:strRef>
              <c:f>BGDisplay!$H$38</c:f>
              <c:strCache>
                <c:ptCount val="1"/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BGDisplay!$E$39:$E$89</c:f>
              <c:numCache>
                <c:formatCode>General</c:formatCode>
                <c:ptCount val="51"/>
                <c:pt idx="0">
                  <c:v>232</c:v>
                </c:pt>
                <c:pt idx="5">
                  <c:v>214</c:v>
                </c:pt>
                <c:pt idx="10">
                  <c:v>190</c:v>
                </c:pt>
                <c:pt idx="15">
                  <c:v>169</c:v>
                </c:pt>
                <c:pt idx="20">
                  <c:v>149</c:v>
                </c:pt>
                <c:pt idx="25">
                  <c:v>126</c:v>
                </c:pt>
                <c:pt idx="30">
                  <c:v>102</c:v>
                </c:pt>
                <c:pt idx="35">
                  <c:v>78</c:v>
                </c:pt>
                <c:pt idx="40">
                  <c:v>52</c:v>
                </c:pt>
                <c:pt idx="45">
                  <c:v>27</c:v>
                </c:pt>
              </c:numCache>
            </c:numRef>
          </c:xVal>
          <c:yVal>
            <c:numRef>
              <c:f>BGDisplay!$H$39:$H$89</c:f>
              <c:numCache>
                <c:formatCode>General</c:formatCode>
                <c:ptCount val="5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F72-4525-B10B-F6390FA87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0242416"/>
        <c:axId val="1800242896"/>
      </c:scatterChart>
      <c:valAx>
        <c:axId val="1800242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00242896"/>
        <c:crosses val="autoZero"/>
        <c:crossBetween val="midCat"/>
      </c:valAx>
      <c:valAx>
        <c:axId val="180024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00242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655179</xdr:colOff>
      <xdr:row>28</xdr:row>
      <xdr:rowOff>127472</xdr:rowOff>
    </xdr:from>
    <xdr:to>
      <xdr:col>12</xdr:col>
      <xdr:colOff>320469</xdr:colOff>
      <xdr:row>45</xdr:row>
      <xdr:rowOff>64092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F8E1476-5BD7-42AE-BE2F-B1FE1B5454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603172</xdr:colOff>
      <xdr:row>2</xdr:row>
      <xdr:rowOff>112625</xdr:rowOff>
    </xdr:from>
    <xdr:to>
      <xdr:col>19</xdr:col>
      <xdr:colOff>497100</xdr:colOff>
      <xdr:row>19</xdr:row>
      <xdr:rowOff>222392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941F6B01-EC39-4C9B-868B-50825778AC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393466</xdr:colOff>
      <xdr:row>43</xdr:row>
      <xdr:rowOff>81172</xdr:rowOff>
    </xdr:from>
    <xdr:to>
      <xdr:col>16</xdr:col>
      <xdr:colOff>258417</xdr:colOff>
      <xdr:row>60</xdr:row>
      <xdr:rowOff>17792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A535E62-C64E-BBB0-DE4A-6674E0A975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14883</xdr:colOff>
      <xdr:row>2</xdr:row>
      <xdr:rowOff>68153</xdr:rowOff>
    </xdr:from>
    <xdr:to>
      <xdr:col>23</xdr:col>
      <xdr:colOff>302846</xdr:colOff>
      <xdr:row>19</xdr:row>
      <xdr:rowOff>117231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4A3EF1EF-9084-4053-3DDF-1AF7BDEFD5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667191</xdr:colOff>
      <xdr:row>20</xdr:row>
      <xdr:rowOff>27286</xdr:rowOff>
    </xdr:from>
    <xdr:to>
      <xdr:col>25</xdr:col>
      <xdr:colOff>547336</xdr:colOff>
      <xdr:row>40</xdr:row>
      <xdr:rowOff>35830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87DF30F4-28E5-A9AA-A8E1-AC93F5AECA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143435</xdr:colOff>
      <xdr:row>58</xdr:row>
      <xdr:rowOff>179292</xdr:rowOff>
    </xdr:from>
    <xdr:to>
      <xdr:col>17</xdr:col>
      <xdr:colOff>385482</xdr:colOff>
      <xdr:row>70</xdr:row>
      <xdr:rowOff>125504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E68B5945-3A5D-5B61-8552-DE91EC3DC2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1A2DC-6B17-4D94-85B7-1414CA46C384}">
  <dimension ref="A1:S31"/>
  <sheetViews>
    <sheetView topLeftCell="I10" zoomScale="93" workbookViewId="0">
      <selection activeCell="M18" sqref="M18"/>
    </sheetView>
  </sheetViews>
  <sheetFormatPr defaultRowHeight="18"/>
  <sheetData>
    <row r="1" spans="1:19">
      <c r="B1" t="s">
        <v>67</v>
      </c>
      <c r="C1" t="s">
        <v>68</v>
      </c>
      <c r="D1" t="s">
        <v>69</v>
      </c>
      <c r="F1" t="s">
        <v>108</v>
      </c>
      <c r="G1" t="s">
        <v>67</v>
      </c>
      <c r="H1" t="s">
        <v>68</v>
      </c>
      <c r="I1" t="s">
        <v>69</v>
      </c>
      <c r="K1" t="s">
        <v>67</v>
      </c>
      <c r="L1" t="s">
        <v>68</v>
      </c>
      <c r="M1" t="s">
        <v>69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</row>
    <row r="2" spans="1:19">
      <c r="A2" t="s">
        <v>67</v>
      </c>
      <c r="B2">
        <v>245</v>
      </c>
      <c r="C2">
        <v>39</v>
      </c>
      <c r="D2">
        <v>48</v>
      </c>
      <c r="F2">
        <v>1</v>
      </c>
      <c r="G2">
        <v>123</v>
      </c>
      <c r="H2">
        <v>23</v>
      </c>
      <c r="I2">
        <v>17</v>
      </c>
      <c r="J2" t="s">
        <v>87</v>
      </c>
      <c r="K2">
        <v>125</v>
      </c>
      <c r="L2">
        <v>23</v>
      </c>
      <c r="M2">
        <v>16</v>
      </c>
      <c r="N2">
        <f>ABS(G2-K2)</f>
        <v>2</v>
      </c>
      <c r="O2">
        <f>ABS(H2-L2)</f>
        <v>0</v>
      </c>
      <c r="P2">
        <f>ABS(I2-M2)</f>
        <v>1</v>
      </c>
      <c r="Q2">
        <f>N2^2</f>
        <v>4</v>
      </c>
      <c r="R2">
        <f>O2^2</f>
        <v>0</v>
      </c>
      <c r="S2">
        <f>P2^2</f>
        <v>1</v>
      </c>
    </row>
    <row r="3" spans="1:19">
      <c r="A3" t="s">
        <v>68</v>
      </c>
      <c r="B3">
        <v>68</v>
      </c>
      <c r="C3">
        <v>237</v>
      </c>
      <c r="D3">
        <v>108</v>
      </c>
      <c r="F3">
        <v>2</v>
      </c>
      <c r="G3">
        <v>18</v>
      </c>
      <c r="H3">
        <v>68</v>
      </c>
      <c r="I3">
        <v>33</v>
      </c>
      <c r="J3" t="s">
        <v>88</v>
      </c>
      <c r="K3">
        <v>19</v>
      </c>
      <c r="L3">
        <v>70</v>
      </c>
      <c r="M3">
        <v>31</v>
      </c>
      <c r="N3">
        <f t="shared" ref="N3:N11" si="0">ABS(G3-K3)</f>
        <v>1</v>
      </c>
      <c r="O3">
        <f t="shared" ref="O3:O11" si="1">ABS(H3-L3)</f>
        <v>2</v>
      </c>
      <c r="P3">
        <f t="shared" ref="P3:P11" si="2">ABS(I3-M3)</f>
        <v>2</v>
      </c>
      <c r="Q3">
        <f t="shared" ref="Q3:Q11" si="3">N3^2</f>
        <v>1</v>
      </c>
      <c r="R3">
        <f t="shared" ref="R3:R11" si="4">O3^2</f>
        <v>4</v>
      </c>
      <c r="S3">
        <f t="shared" ref="S3:S11" si="5">P3^2</f>
        <v>4</v>
      </c>
    </row>
    <row r="4" spans="1:19">
      <c r="A4" t="s">
        <v>69</v>
      </c>
      <c r="B4">
        <v>7</v>
      </c>
      <c r="C4">
        <v>46</v>
      </c>
      <c r="D4">
        <v>223</v>
      </c>
      <c r="F4">
        <v>3</v>
      </c>
      <c r="G4">
        <v>37</v>
      </c>
      <c r="H4">
        <v>47</v>
      </c>
      <c r="I4">
        <v>52</v>
      </c>
      <c r="J4" t="s">
        <v>111</v>
      </c>
      <c r="K4">
        <v>36</v>
      </c>
      <c r="L4">
        <v>45</v>
      </c>
      <c r="M4">
        <v>50</v>
      </c>
      <c r="N4">
        <f t="shared" si="0"/>
        <v>1</v>
      </c>
      <c r="O4">
        <f t="shared" si="1"/>
        <v>2</v>
      </c>
      <c r="P4">
        <f t="shared" si="2"/>
        <v>2</v>
      </c>
      <c r="Q4">
        <f t="shared" si="3"/>
        <v>1</v>
      </c>
      <c r="R4">
        <f t="shared" si="4"/>
        <v>4</v>
      </c>
      <c r="S4">
        <f t="shared" si="5"/>
        <v>4</v>
      </c>
    </row>
    <row r="5" spans="1:19">
      <c r="A5" t="s">
        <v>70</v>
      </c>
      <c r="B5">
        <v>137</v>
      </c>
      <c r="C5">
        <v>22</v>
      </c>
      <c r="D5">
        <v>11</v>
      </c>
      <c r="F5">
        <v>4</v>
      </c>
      <c r="G5">
        <v>63</v>
      </c>
      <c r="H5">
        <v>54</v>
      </c>
      <c r="I5">
        <v>36</v>
      </c>
      <c r="J5" t="s">
        <v>90</v>
      </c>
      <c r="K5">
        <v>65</v>
      </c>
      <c r="L5">
        <v>54</v>
      </c>
      <c r="M5">
        <v>34</v>
      </c>
      <c r="N5">
        <f t="shared" si="0"/>
        <v>2</v>
      </c>
      <c r="O5">
        <f t="shared" si="1"/>
        <v>0</v>
      </c>
      <c r="P5">
        <f t="shared" si="2"/>
        <v>2</v>
      </c>
      <c r="Q5">
        <f t="shared" si="3"/>
        <v>4</v>
      </c>
      <c r="R5">
        <f t="shared" si="4"/>
        <v>0</v>
      </c>
      <c r="S5">
        <f t="shared" si="5"/>
        <v>4</v>
      </c>
    </row>
    <row r="6" spans="1:19">
      <c r="A6" t="s">
        <v>71</v>
      </c>
      <c r="B6">
        <v>35</v>
      </c>
      <c r="C6">
        <v>127</v>
      </c>
      <c r="D6">
        <v>56</v>
      </c>
      <c r="F6">
        <v>5</v>
      </c>
      <c r="G6">
        <v>95</v>
      </c>
      <c r="H6">
        <v>19</v>
      </c>
      <c r="I6">
        <v>25</v>
      </c>
      <c r="J6" t="s">
        <v>91</v>
      </c>
      <c r="K6">
        <v>95</v>
      </c>
      <c r="L6">
        <v>19</v>
      </c>
      <c r="M6">
        <v>22</v>
      </c>
      <c r="N6">
        <f t="shared" si="0"/>
        <v>0</v>
      </c>
      <c r="O6">
        <f t="shared" si="1"/>
        <v>0</v>
      </c>
      <c r="P6">
        <f t="shared" si="2"/>
        <v>3</v>
      </c>
      <c r="Q6">
        <f t="shared" si="3"/>
        <v>0</v>
      </c>
      <c r="R6">
        <f t="shared" si="4"/>
        <v>0</v>
      </c>
      <c r="S6">
        <f t="shared" si="5"/>
        <v>9</v>
      </c>
    </row>
    <row r="7" spans="1:19">
      <c r="A7" t="s">
        <v>72</v>
      </c>
      <c r="B7">
        <v>7</v>
      </c>
      <c r="C7">
        <v>24</v>
      </c>
      <c r="D7">
        <v>111</v>
      </c>
      <c r="F7">
        <v>6</v>
      </c>
      <c r="G7">
        <v>5</v>
      </c>
      <c r="H7">
        <v>21</v>
      </c>
      <c r="I7">
        <v>18</v>
      </c>
      <c r="J7" t="s">
        <v>92</v>
      </c>
      <c r="K7">
        <v>6</v>
      </c>
      <c r="L7">
        <v>21</v>
      </c>
      <c r="M7">
        <v>17</v>
      </c>
      <c r="N7">
        <f t="shared" si="0"/>
        <v>1</v>
      </c>
      <c r="O7">
        <f t="shared" si="1"/>
        <v>0</v>
      </c>
      <c r="P7">
        <f t="shared" si="2"/>
        <v>1</v>
      </c>
      <c r="Q7">
        <f t="shared" si="3"/>
        <v>1</v>
      </c>
      <c r="R7">
        <f t="shared" si="4"/>
        <v>0</v>
      </c>
      <c r="S7">
        <f t="shared" si="5"/>
        <v>1</v>
      </c>
    </row>
    <row r="8" spans="1:19">
      <c r="F8">
        <v>7</v>
      </c>
      <c r="G8">
        <v>158</v>
      </c>
      <c r="H8">
        <v>51</v>
      </c>
      <c r="I8">
        <v>118</v>
      </c>
      <c r="J8" t="s">
        <v>93</v>
      </c>
      <c r="K8">
        <v>146</v>
      </c>
      <c r="L8">
        <v>49</v>
      </c>
      <c r="M8">
        <v>115</v>
      </c>
      <c r="N8">
        <f t="shared" si="0"/>
        <v>12</v>
      </c>
      <c r="O8">
        <f t="shared" si="1"/>
        <v>2</v>
      </c>
      <c r="P8">
        <f t="shared" si="2"/>
        <v>3</v>
      </c>
      <c r="Q8">
        <f t="shared" si="3"/>
        <v>144</v>
      </c>
      <c r="R8">
        <f t="shared" si="4"/>
        <v>4</v>
      </c>
      <c r="S8">
        <f t="shared" si="5"/>
        <v>9</v>
      </c>
    </row>
    <row r="9" spans="1:19">
      <c r="B9">
        <v>0.55900000000000005</v>
      </c>
      <c r="C9">
        <v>-2.1000000000000001E-2</v>
      </c>
      <c r="D9">
        <v>1.8200000000000001E-2</v>
      </c>
      <c r="F9">
        <v>8</v>
      </c>
      <c r="G9">
        <v>4</v>
      </c>
      <c r="H9">
        <v>5</v>
      </c>
      <c r="I9">
        <v>22</v>
      </c>
      <c r="J9" t="s">
        <v>94</v>
      </c>
      <c r="K9">
        <v>6</v>
      </c>
      <c r="L9">
        <v>6</v>
      </c>
      <c r="M9">
        <v>22</v>
      </c>
      <c r="N9">
        <f t="shared" si="0"/>
        <v>2</v>
      </c>
      <c r="O9">
        <f t="shared" si="1"/>
        <v>1</v>
      </c>
      <c r="P9">
        <f t="shared" si="2"/>
        <v>0</v>
      </c>
      <c r="Q9">
        <f t="shared" si="3"/>
        <v>4</v>
      </c>
      <c r="R9">
        <f t="shared" si="4"/>
        <v>1</v>
      </c>
      <c r="S9">
        <f t="shared" si="5"/>
        <v>0</v>
      </c>
    </row>
    <row r="10" spans="1:19">
      <c r="B10">
        <v>2.3999999999999998E-3</v>
      </c>
      <c r="C10">
        <v>0.53659999999999997</v>
      </c>
      <c r="D10">
        <v>-3.0999999999999999E-3</v>
      </c>
      <c r="F10">
        <v>9</v>
      </c>
      <c r="G10">
        <v>63</v>
      </c>
      <c r="H10">
        <v>12</v>
      </c>
      <c r="I10">
        <v>10</v>
      </c>
      <c r="J10" t="s">
        <v>95</v>
      </c>
      <c r="K10">
        <v>63</v>
      </c>
      <c r="L10">
        <v>12</v>
      </c>
      <c r="M10">
        <v>9</v>
      </c>
      <c r="N10">
        <f t="shared" si="0"/>
        <v>0</v>
      </c>
      <c r="O10">
        <f t="shared" si="1"/>
        <v>0</v>
      </c>
      <c r="P10">
        <f t="shared" si="2"/>
        <v>1</v>
      </c>
      <c r="Q10">
        <f t="shared" si="3"/>
        <v>0</v>
      </c>
      <c r="R10">
        <f t="shared" si="4"/>
        <v>0</v>
      </c>
      <c r="S10">
        <f t="shared" si="5"/>
        <v>1</v>
      </c>
    </row>
    <row r="11" spans="1:19">
      <c r="B11">
        <v>6.9999999999999999E-4</v>
      </c>
      <c r="C11">
        <v>1.0200000000000001E-2</v>
      </c>
      <c r="D11">
        <v>0.49559999999999998</v>
      </c>
      <c r="F11">
        <v>10</v>
      </c>
      <c r="G11">
        <v>48</v>
      </c>
      <c r="H11">
        <v>72</v>
      </c>
      <c r="I11">
        <v>79</v>
      </c>
      <c r="J11" t="s">
        <v>112</v>
      </c>
      <c r="K11">
        <v>49</v>
      </c>
      <c r="L11">
        <v>73</v>
      </c>
      <c r="M11">
        <v>77</v>
      </c>
      <c r="N11">
        <f t="shared" si="0"/>
        <v>1</v>
      </c>
      <c r="O11">
        <f t="shared" si="1"/>
        <v>1</v>
      </c>
      <c r="P11">
        <f t="shared" si="2"/>
        <v>2</v>
      </c>
      <c r="Q11">
        <f t="shared" si="3"/>
        <v>1</v>
      </c>
      <c r="R11">
        <f t="shared" si="4"/>
        <v>1</v>
      </c>
      <c r="S11">
        <f t="shared" si="5"/>
        <v>4</v>
      </c>
    </row>
    <row r="12" spans="1:19">
      <c r="A12" t="s">
        <v>86</v>
      </c>
      <c r="N12">
        <f t="shared" ref="N12:S12" si="6">AVERAGE(N2:N11)</f>
        <v>2.2000000000000002</v>
      </c>
      <c r="O12">
        <f t="shared" si="6"/>
        <v>0.8</v>
      </c>
      <c r="P12">
        <f t="shared" si="6"/>
        <v>1.7</v>
      </c>
      <c r="Q12">
        <f t="shared" si="6"/>
        <v>16</v>
      </c>
      <c r="R12">
        <f t="shared" si="6"/>
        <v>1.4</v>
      </c>
      <c r="S12">
        <f t="shared" si="6"/>
        <v>3.7</v>
      </c>
    </row>
    <row r="13" spans="1:19">
      <c r="B13" t="s">
        <v>67</v>
      </c>
      <c r="C13" t="s">
        <v>68</v>
      </c>
      <c r="D13" t="s">
        <v>69</v>
      </c>
      <c r="N13">
        <f>AVERAGE(N12:P12)</f>
        <v>1.5666666666666667</v>
      </c>
      <c r="Q13">
        <f>SQRT(Q12)</f>
        <v>4</v>
      </c>
      <c r="R13">
        <f>SQRT(R12)</f>
        <v>1.1832159566199232</v>
      </c>
      <c r="S13">
        <f>SQRT(S12)</f>
        <v>1.9235384061671346</v>
      </c>
    </row>
    <row r="14" spans="1:19">
      <c r="A14" t="s">
        <v>67</v>
      </c>
      <c r="B14">
        <v>56.11</v>
      </c>
      <c r="C14">
        <v>8.35</v>
      </c>
      <c r="D14">
        <v>4</v>
      </c>
      <c r="N14" t="s">
        <v>103</v>
      </c>
      <c r="Q14">
        <f>AVERAGE(Q12:S12)</f>
        <v>7.0333333333333323</v>
      </c>
      <c r="R14">
        <f>SQRT(Q14)</f>
        <v>2.6520432374554779</v>
      </c>
    </row>
    <row r="15" spans="1:19">
      <c r="A15" t="s">
        <v>68</v>
      </c>
      <c r="B15">
        <v>14.3</v>
      </c>
      <c r="C15">
        <v>53.92</v>
      </c>
      <c r="D15">
        <v>23.03</v>
      </c>
      <c r="R15" t="s">
        <v>104</v>
      </c>
    </row>
    <row r="16" spans="1:19">
      <c r="A16" t="s">
        <v>69</v>
      </c>
      <c r="B16">
        <v>1.34</v>
      </c>
      <c r="C16">
        <v>14.76</v>
      </c>
      <c r="D16">
        <v>42.85</v>
      </c>
    </row>
    <row r="17" spans="1:19">
      <c r="A17" t="s">
        <v>70</v>
      </c>
      <c r="B17">
        <v>10.17</v>
      </c>
      <c r="C17">
        <v>1.1499999999999999</v>
      </c>
      <c r="D17">
        <v>0.26</v>
      </c>
      <c r="F17" t="s">
        <v>109</v>
      </c>
      <c r="G17" t="s">
        <v>67</v>
      </c>
      <c r="H17" t="s">
        <v>68</v>
      </c>
      <c r="I17" t="s">
        <v>69</v>
      </c>
      <c r="J17" t="s">
        <v>110</v>
      </c>
      <c r="K17" t="s">
        <v>67</v>
      </c>
      <c r="L17" t="s">
        <v>68</v>
      </c>
      <c r="M17" t="s">
        <v>69</v>
      </c>
      <c r="N17" t="s">
        <v>97</v>
      </c>
      <c r="O17" t="s">
        <v>98</v>
      </c>
      <c r="P17" t="s">
        <v>99</v>
      </c>
      <c r="Q17" t="s">
        <v>100</v>
      </c>
      <c r="R17" t="s">
        <v>101</v>
      </c>
      <c r="S17" t="s">
        <v>102</v>
      </c>
    </row>
    <row r="18" spans="1:19">
      <c r="A18" t="s">
        <v>71</v>
      </c>
      <c r="B18">
        <v>2.31</v>
      </c>
      <c r="C18">
        <v>11.93</v>
      </c>
      <c r="D18">
        <v>4.84</v>
      </c>
      <c r="F18">
        <v>1</v>
      </c>
      <c r="G18">
        <v>127</v>
      </c>
      <c r="H18">
        <v>24</v>
      </c>
      <c r="I18">
        <v>18</v>
      </c>
      <c r="J18" t="s">
        <v>87</v>
      </c>
      <c r="K18">
        <v>124</v>
      </c>
      <c r="L18">
        <v>24</v>
      </c>
      <c r="M18">
        <v>18</v>
      </c>
      <c r="N18">
        <f>ABS(G18-K18)</f>
        <v>3</v>
      </c>
      <c r="O18">
        <f t="shared" ref="O18:O27" si="7">ABS(H18-L18)</f>
        <v>0</v>
      </c>
      <c r="P18">
        <f t="shared" ref="P18:P27" si="8">ABS(I18-M18)</f>
        <v>0</v>
      </c>
      <c r="Q18">
        <f>N18^2</f>
        <v>9</v>
      </c>
      <c r="R18">
        <f t="shared" ref="R18:R27" si="9">O18^2</f>
        <v>0</v>
      </c>
      <c r="S18">
        <f t="shared" ref="S18:S27" si="10">P18^2</f>
        <v>0</v>
      </c>
    </row>
    <row r="19" spans="1:19">
      <c r="A19" t="s">
        <v>72</v>
      </c>
      <c r="B19">
        <v>0.04</v>
      </c>
      <c r="C19">
        <v>1.74</v>
      </c>
      <c r="D19">
        <v>11.36</v>
      </c>
      <c r="F19">
        <v>2</v>
      </c>
      <c r="G19">
        <v>21</v>
      </c>
      <c r="H19">
        <v>71</v>
      </c>
      <c r="I19">
        <v>34</v>
      </c>
      <c r="J19" t="s">
        <v>88</v>
      </c>
      <c r="K19">
        <v>19</v>
      </c>
      <c r="L19">
        <v>70</v>
      </c>
      <c r="M19">
        <v>34</v>
      </c>
      <c r="N19">
        <f t="shared" ref="N19:N27" si="11">ABS(G19-K19)</f>
        <v>2</v>
      </c>
      <c r="O19">
        <f t="shared" si="7"/>
        <v>1</v>
      </c>
      <c r="P19">
        <f t="shared" si="8"/>
        <v>0</v>
      </c>
      <c r="Q19">
        <f t="shared" ref="Q19:Q27" si="12">N19^2</f>
        <v>4</v>
      </c>
      <c r="R19">
        <f t="shared" si="9"/>
        <v>1</v>
      </c>
      <c r="S19">
        <f t="shared" si="10"/>
        <v>0</v>
      </c>
    </row>
    <row r="20" spans="1:19">
      <c r="F20">
        <v>3</v>
      </c>
      <c r="G20">
        <v>38</v>
      </c>
      <c r="H20">
        <v>48</v>
      </c>
      <c r="I20">
        <v>52</v>
      </c>
      <c r="J20" t="s">
        <v>111</v>
      </c>
      <c r="K20">
        <v>37</v>
      </c>
      <c r="L20">
        <v>48</v>
      </c>
      <c r="M20">
        <v>54</v>
      </c>
      <c r="N20">
        <f t="shared" si="11"/>
        <v>1</v>
      </c>
      <c r="O20">
        <f t="shared" si="7"/>
        <v>0</v>
      </c>
      <c r="P20">
        <f t="shared" si="8"/>
        <v>2</v>
      </c>
      <c r="Q20">
        <f t="shared" si="12"/>
        <v>1</v>
      </c>
      <c r="R20">
        <f t="shared" si="9"/>
        <v>0</v>
      </c>
      <c r="S20">
        <f t="shared" si="10"/>
        <v>4</v>
      </c>
    </row>
    <row r="21" spans="1:19">
      <c r="B21" t="s">
        <v>105</v>
      </c>
      <c r="F21">
        <v>4</v>
      </c>
      <c r="G21">
        <v>68</v>
      </c>
      <c r="H21">
        <v>57</v>
      </c>
      <c r="I21">
        <v>35</v>
      </c>
      <c r="J21" t="s">
        <v>90</v>
      </c>
      <c r="K21">
        <v>65</v>
      </c>
      <c r="L21">
        <v>55</v>
      </c>
      <c r="M21">
        <v>37</v>
      </c>
      <c r="N21">
        <f t="shared" si="11"/>
        <v>3</v>
      </c>
      <c r="O21">
        <f t="shared" si="7"/>
        <v>2</v>
      </c>
      <c r="P21">
        <f t="shared" si="8"/>
        <v>2</v>
      </c>
      <c r="Q21">
        <f t="shared" si="12"/>
        <v>9</v>
      </c>
      <c r="R21">
        <f t="shared" si="9"/>
        <v>4</v>
      </c>
      <c r="S21">
        <f t="shared" si="10"/>
        <v>4</v>
      </c>
    </row>
    <row r="22" spans="1:19">
      <c r="B22" t="s">
        <v>106</v>
      </c>
      <c r="F22">
        <v>5</v>
      </c>
      <c r="G22">
        <v>97</v>
      </c>
      <c r="H22">
        <v>20</v>
      </c>
      <c r="I22">
        <v>24</v>
      </c>
      <c r="J22" t="s">
        <v>91</v>
      </c>
      <c r="K22">
        <v>96</v>
      </c>
      <c r="L22">
        <v>20</v>
      </c>
      <c r="M22">
        <v>24</v>
      </c>
      <c r="N22">
        <f t="shared" si="11"/>
        <v>1</v>
      </c>
      <c r="O22">
        <f t="shared" si="7"/>
        <v>0</v>
      </c>
      <c r="P22">
        <f t="shared" si="8"/>
        <v>0</v>
      </c>
      <c r="Q22">
        <f t="shared" si="12"/>
        <v>1</v>
      </c>
      <c r="R22">
        <f t="shared" si="9"/>
        <v>0</v>
      </c>
      <c r="S22">
        <f t="shared" si="10"/>
        <v>0</v>
      </c>
    </row>
    <row r="23" spans="1:19">
      <c r="B23" t="s">
        <v>107</v>
      </c>
      <c r="F23">
        <v>6</v>
      </c>
      <c r="G23">
        <v>6</v>
      </c>
      <c r="H23">
        <v>22</v>
      </c>
      <c r="I23">
        <v>18</v>
      </c>
      <c r="J23" t="s">
        <v>92</v>
      </c>
      <c r="K23">
        <v>6</v>
      </c>
      <c r="L23">
        <v>22</v>
      </c>
      <c r="M23">
        <v>18</v>
      </c>
      <c r="N23">
        <f t="shared" si="11"/>
        <v>0</v>
      </c>
      <c r="O23">
        <f t="shared" si="7"/>
        <v>0</v>
      </c>
      <c r="P23">
        <f t="shared" si="8"/>
        <v>0</v>
      </c>
      <c r="Q23">
        <f t="shared" si="12"/>
        <v>0</v>
      </c>
      <c r="R23">
        <f t="shared" si="9"/>
        <v>0</v>
      </c>
      <c r="S23">
        <f t="shared" si="10"/>
        <v>0</v>
      </c>
    </row>
    <row r="24" spans="1:19">
      <c r="F24">
        <v>7</v>
      </c>
      <c r="G24">
        <v>150</v>
      </c>
      <c r="H24">
        <v>52</v>
      </c>
      <c r="I24">
        <v>119</v>
      </c>
      <c r="J24" t="s">
        <v>93</v>
      </c>
      <c r="K24">
        <v>162</v>
      </c>
      <c r="L24">
        <v>53</v>
      </c>
      <c r="M24">
        <v>118</v>
      </c>
      <c r="N24">
        <f t="shared" si="11"/>
        <v>12</v>
      </c>
      <c r="O24">
        <f t="shared" si="7"/>
        <v>1</v>
      </c>
      <c r="P24">
        <f t="shared" si="8"/>
        <v>1</v>
      </c>
      <c r="Q24">
        <f t="shared" si="12"/>
        <v>144</v>
      </c>
      <c r="R24">
        <f t="shared" si="9"/>
        <v>1</v>
      </c>
      <c r="S24">
        <f t="shared" si="10"/>
        <v>1</v>
      </c>
    </row>
    <row r="25" spans="1:19">
      <c r="F25">
        <v>8</v>
      </c>
      <c r="G25">
        <v>3</v>
      </c>
      <c r="H25">
        <v>5</v>
      </c>
      <c r="I25">
        <v>22</v>
      </c>
      <c r="J25" t="s">
        <v>94</v>
      </c>
      <c r="K25">
        <v>4</v>
      </c>
      <c r="L25">
        <v>5</v>
      </c>
      <c r="M25">
        <v>21</v>
      </c>
      <c r="N25">
        <f t="shared" si="11"/>
        <v>1</v>
      </c>
      <c r="O25">
        <f t="shared" si="7"/>
        <v>0</v>
      </c>
      <c r="P25">
        <f t="shared" si="8"/>
        <v>1</v>
      </c>
      <c r="Q25">
        <f t="shared" si="12"/>
        <v>1</v>
      </c>
      <c r="R25">
        <f t="shared" si="9"/>
        <v>0</v>
      </c>
      <c r="S25">
        <f t="shared" si="10"/>
        <v>1</v>
      </c>
    </row>
    <row r="26" spans="1:19">
      <c r="F26">
        <v>9</v>
      </c>
      <c r="G26">
        <v>64</v>
      </c>
      <c r="H26">
        <v>13</v>
      </c>
      <c r="I26">
        <v>9</v>
      </c>
      <c r="J26" t="s">
        <v>95</v>
      </c>
      <c r="K26">
        <v>64</v>
      </c>
      <c r="L26">
        <v>13</v>
      </c>
      <c r="M26">
        <v>10</v>
      </c>
      <c r="N26">
        <f t="shared" si="11"/>
        <v>0</v>
      </c>
      <c r="O26">
        <f t="shared" si="7"/>
        <v>0</v>
      </c>
      <c r="P26">
        <f t="shared" si="8"/>
        <v>1</v>
      </c>
      <c r="Q26">
        <f t="shared" si="12"/>
        <v>0</v>
      </c>
      <c r="R26">
        <f t="shared" si="9"/>
        <v>0</v>
      </c>
      <c r="S26">
        <f t="shared" si="10"/>
        <v>1</v>
      </c>
    </row>
    <row r="27" spans="1:19">
      <c r="F27">
        <v>10</v>
      </c>
      <c r="G27">
        <v>50</v>
      </c>
      <c r="H27">
        <v>74</v>
      </c>
      <c r="I27">
        <v>80</v>
      </c>
      <c r="J27" t="s">
        <v>112</v>
      </c>
      <c r="K27">
        <v>49</v>
      </c>
      <c r="L27">
        <v>74</v>
      </c>
      <c r="M27">
        <v>81</v>
      </c>
      <c r="N27">
        <f t="shared" si="11"/>
        <v>1</v>
      </c>
      <c r="O27">
        <f t="shared" si="7"/>
        <v>0</v>
      </c>
      <c r="P27">
        <f t="shared" si="8"/>
        <v>1</v>
      </c>
      <c r="Q27">
        <f t="shared" si="12"/>
        <v>1</v>
      </c>
      <c r="R27">
        <f t="shared" si="9"/>
        <v>0</v>
      </c>
      <c r="S27">
        <f t="shared" si="10"/>
        <v>1</v>
      </c>
    </row>
    <row r="28" spans="1:19">
      <c r="N28">
        <f t="shared" ref="N28:S28" si="13">AVERAGE(N18:N27)</f>
        <v>2.4</v>
      </c>
      <c r="O28">
        <f t="shared" si="13"/>
        <v>0.4</v>
      </c>
      <c r="P28">
        <f t="shared" si="13"/>
        <v>0.8</v>
      </c>
      <c r="Q28">
        <f t="shared" si="13"/>
        <v>17</v>
      </c>
      <c r="R28">
        <f t="shared" si="13"/>
        <v>0.6</v>
      </c>
      <c r="S28">
        <f t="shared" si="13"/>
        <v>1.2</v>
      </c>
    </row>
    <row r="29" spans="1:19">
      <c r="N29">
        <f>AVERAGE(N28:P28)</f>
        <v>1.2</v>
      </c>
      <c r="Q29">
        <f>SQRT(Q28)</f>
        <v>4.1231056256176606</v>
      </c>
      <c r="R29">
        <f>SQRT(R28)</f>
        <v>0.7745966692414834</v>
      </c>
      <c r="S29">
        <f>SQRT(S28)</f>
        <v>1.0954451150103321</v>
      </c>
    </row>
    <row r="30" spans="1:19">
      <c r="N30" t="s">
        <v>103</v>
      </c>
      <c r="Q30">
        <f>AVERAGE(Q28:S28)</f>
        <v>6.2666666666666666</v>
      </c>
      <c r="R30">
        <f>SQRT(Q30)</f>
        <v>2.503331114069145</v>
      </c>
    </row>
    <row r="31" spans="1:19">
      <c r="R31" t="s">
        <v>104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515B1-704B-422E-A4FC-01586B06F9C2}">
  <dimension ref="A1:E4"/>
  <sheetViews>
    <sheetView showGridLines="0" workbookViewId="0">
      <selection sqref="A1:E4"/>
    </sheetView>
  </sheetViews>
  <sheetFormatPr defaultRowHeight="18"/>
  <sheetData>
    <row r="1" spans="1:5">
      <c r="A1" s="4"/>
      <c r="B1" s="22" t="s">
        <v>58</v>
      </c>
      <c r="C1" s="22"/>
      <c r="D1" s="22" t="s">
        <v>59</v>
      </c>
      <c r="E1" s="22"/>
    </row>
    <row r="2" spans="1:5">
      <c r="A2" s="4"/>
      <c r="B2" s="4" t="s">
        <v>60</v>
      </c>
      <c r="C2" s="4" t="s">
        <v>61</v>
      </c>
      <c r="D2" s="4" t="s">
        <v>60</v>
      </c>
      <c r="E2" s="4" t="s">
        <v>61</v>
      </c>
    </row>
    <row r="3" spans="1:5">
      <c r="A3" s="5" t="s">
        <v>57</v>
      </c>
      <c r="B3" s="6">
        <v>0.71633999999999998</v>
      </c>
      <c r="C3" s="6">
        <v>8.1040000000000001E-2</v>
      </c>
      <c r="D3" s="6">
        <v>0.63109999999999999</v>
      </c>
      <c r="E3" s="6">
        <v>0.10315000000000001</v>
      </c>
    </row>
    <row r="4" spans="1:5">
      <c r="A4" s="7" t="s">
        <v>56</v>
      </c>
      <c r="B4" s="8">
        <v>0.67437000000000002</v>
      </c>
      <c r="C4" s="8">
        <v>0.11149000000000001</v>
      </c>
      <c r="D4" s="8">
        <v>0.69220999999999999</v>
      </c>
      <c r="E4" s="8">
        <v>0.12063</v>
      </c>
    </row>
  </sheetData>
  <mergeCells count="2">
    <mergeCell ref="B1:C1"/>
    <mergeCell ref="D1:E1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B391E-8AA8-4A22-96DE-5B9DDC22536B}">
  <dimension ref="A1:T82"/>
  <sheetViews>
    <sheetView showGridLines="0" topLeftCell="A32" zoomScale="101" zoomScaleNormal="110" workbookViewId="0">
      <selection activeCell="L22" sqref="L22"/>
    </sheetView>
  </sheetViews>
  <sheetFormatPr defaultRowHeight="18"/>
  <cols>
    <col min="1" max="11" width="10.09765625" customWidth="1"/>
    <col min="12" max="12" width="22.5" customWidth="1"/>
    <col min="13" max="14" width="10.09765625" customWidth="1"/>
  </cols>
  <sheetData>
    <row r="1" spans="1:13">
      <c r="A1" t="s">
        <v>0</v>
      </c>
      <c r="B1" t="s">
        <v>1</v>
      </c>
      <c r="E1" t="s">
        <v>25</v>
      </c>
    </row>
    <row r="2" spans="1:13">
      <c r="A2" t="s">
        <v>2</v>
      </c>
      <c r="B2">
        <v>158</v>
      </c>
    </row>
    <row r="3" spans="1:13">
      <c r="A3" t="s">
        <v>3</v>
      </c>
      <c r="B3">
        <v>170</v>
      </c>
    </row>
    <row r="4" spans="1:13">
      <c r="A4" t="s">
        <v>4</v>
      </c>
      <c r="B4">
        <v>187</v>
      </c>
    </row>
    <row r="5" spans="1:13">
      <c r="A5" t="s">
        <v>5</v>
      </c>
      <c r="B5">
        <v>169</v>
      </c>
    </row>
    <row r="7" spans="1:13">
      <c r="A7" t="s">
        <v>6</v>
      </c>
    </row>
    <row r="8" spans="1:13">
      <c r="A8" s="1"/>
      <c r="B8" s="1" t="s">
        <v>12</v>
      </c>
      <c r="C8" s="1" t="s">
        <v>13</v>
      </c>
      <c r="D8" s="1" t="s">
        <v>14</v>
      </c>
      <c r="E8" s="1" t="s">
        <v>15</v>
      </c>
      <c r="F8" s="1" t="s">
        <v>16</v>
      </c>
      <c r="G8" s="1" t="s">
        <v>17</v>
      </c>
      <c r="H8" s="1" t="s">
        <v>18</v>
      </c>
      <c r="I8" s="1" t="s">
        <v>19</v>
      </c>
      <c r="J8" s="1" t="s">
        <v>20</v>
      </c>
      <c r="K8" s="1" t="s">
        <v>43</v>
      </c>
      <c r="L8" s="1" t="s">
        <v>44</v>
      </c>
      <c r="M8" s="1" t="s">
        <v>45</v>
      </c>
    </row>
    <row r="9" spans="1:13">
      <c r="A9" s="1">
        <v>10</v>
      </c>
      <c r="B9" s="1">
        <v>197</v>
      </c>
      <c r="C9" s="1">
        <v>197</v>
      </c>
      <c r="D9" s="1">
        <v>203</v>
      </c>
      <c r="E9" s="1">
        <v>191</v>
      </c>
      <c r="F9" s="1">
        <v>190</v>
      </c>
      <c r="G9" s="1">
        <v>196</v>
      </c>
      <c r="H9" s="1">
        <v>202</v>
      </c>
      <c r="I9" s="1">
        <v>202</v>
      </c>
      <c r="J9" s="1">
        <v>208</v>
      </c>
      <c r="K9" s="1"/>
      <c r="L9" s="1"/>
    </row>
    <row r="10" spans="1:13">
      <c r="A10" s="1">
        <v>20</v>
      </c>
      <c r="B10" s="1">
        <v>197</v>
      </c>
      <c r="C10" s="1">
        <v>197</v>
      </c>
      <c r="D10" s="1">
        <v>204</v>
      </c>
      <c r="E10" s="1">
        <v>192</v>
      </c>
      <c r="F10" s="1">
        <v>194</v>
      </c>
      <c r="G10" s="1">
        <v>199</v>
      </c>
      <c r="H10" s="1">
        <v>203</v>
      </c>
      <c r="I10" s="1">
        <v>204</v>
      </c>
      <c r="J10" s="1">
        <v>210</v>
      </c>
      <c r="K10" s="1"/>
      <c r="L10" s="1"/>
    </row>
    <row r="11" spans="1:13">
      <c r="A11" s="1">
        <v>30</v>
      </c>
      <c r="B11" s="1">
        <v>199</v>
      </c>
      <c r="C11" s="1">
        <v>199</v>
      </c>
      <c r="D11" s="1">
        <v>207</v>
      </c>
      <c r="E11" s="1">
        <v>193</v>
      </c>
      <c r="F11" s="1">
        <v>195</v>
      </c>
      <c r="G11" s="1">
        <v>201</v>
      </c>
      <c r="H11" s="1">
        <v>203</v>
      </c>
      <c r="I11" s="1">
        <v>205</v>
      </c>
      <c r="J11" s="1">
        <v>211</v>
      </c>
      <c r="K11" s="1"/>
      <c r="L11" s="1"/>
    </row>
    <row r="12" spans="1:13">
      <c r="A12" s="1">
        <v>40</v>
      </c>
      <c r="B12" s="1">
        <v>199</v>
      </c>
      <c r="C12" s="1">
        <v>200</v>
      </c>
      <c r="D12" s="1">
        <v>208</v>
      </c>
      <c r="E12" s="1">
        <v>194</v>
      </c>
      <c r="F12" s="1">
        <v>196</v>
      </c>
      <c r="G12" s="1">
        <v>202</v>
      </c>
      <c r="H12" s="1">
        <v>204</v>
      </c>
      <c r="I12" s="1">
        <v>205</v>
      </c>
      <c r="J12" s="1">
        <v>212</v>
      </c>
      <c r="K12" s="1"/>
      <c r="L12" s="1"/>
    </row>
    <row r="13" spans="1:13">
      <c r="A13" s="1">
        <v>50</v>
      </c>
      <c r="B13" s="1">
        <v>200</v>
      </c>
      <c r="C13" s="1">
        <v>202</v>
      </c>
      <c r="D13" s="1">
        <v>210</v>
      </c>
      <c r="E13" s="1">
        <v>194</v>
      </c>
      <c r="F13" s="1">
        <v>196</v>
      </c>
      <c r="G13" s="1">
        <v>202</v>
      </c>
      <c r="H13" s="1">
        <v>204</v>
      </c>
      <c r="I13" s="1">
        <v>205</v>
      </c>
      <c r="J13" s="1">
        <v>212</v>
      </c>
      <c r="K13" s="1"/>
      <c r="L13" s="1"/>
    </row>
    <row r="14" spans="1:13">
      <c r="A14" s="1">
        <v>60</v>
      </c>
      <c r="B14" s="1">
        <v>200</v>
      </c>
      <c r="C14" s="1">
        <v>200</v>
      </c>
      <c r="D14" s="1">
        <v>211</v>
      </c>
      <c r="E14" s="1">
        <v>194</v>
      </c>
      <c r="F14" s="1">
        <v>195</v>
      </c>
      <c r="G14" s="1">
        <v>203</v>
      </c>
      <c r="H14" s="1">
        <v>204</v>
      </c>
      <c r="I14" s="1">
        <v>206</v>
      </c>
      <c r="J14" s="1">
        <v>212</v>
      </c>
      <c r="K14" s="1"/>
      <c r="L14" s="1"/>
    </row>
    <row r="15" spans="1:13">
      <c r="A15" s="1">
        <v>70</v>
      </c>
      <c r="B15" s="1">
        <v>200</v>
      </c>
      <c r="C15" s="1">
        <v>201</v>
      </c>
      <c r="D15" s="1">
        <v>213</v>
      </c>
      <c r="E15" s="1">
        <v>194</v>
      </c>
      <c r="F15" s="1">
        <v>196</v>
      </c>
      <c r="G15" s="1">
        <v>203</v>
      </c>
      <c r="H15" s="1">
        <v>203</v>
      </c>
      <c r="I15" s="1">
        <v>205</v>
      </c>
      <c r="J15" s="1">
        <v>212</v>
      </c>
      <c r="K15" s="1"/>
      <c r="L15" s="1"/>
    </row>
    <row r="16" spans="1:13">
      <c r="A16" s="1">
        <v>80</v>
      </c>
      <c r="B16" s="1">
        <v>198</v>
      </c>
      <c r="C16" s="1">
        <v>200</v>
      </c>
      <c r="D16" s="1">
        <v>210</v>
      </c>
      <c r="E16" s="1">
        <v>194</v>
      </c>
      <c r="F16" s="1">
        <v>196</v>
      </c>
      <c r="G16" s="1">
        <v>202</v>
      </c>
      <c r="H16" s="1">
        <v>204</v>
      </c>
      <c r="I16" s="1">
        <v>205</v>
      </c>
      <c r="J16" s="1">
        <v>212</v>
      </c>
      <c r="K16" s="1"/>
      <c r="L16" s="1"/>
    </row>
    <row r="17" spans="1:20">
      <c r="A17" s="1">
        <v>90</v>
      </c>
      <c r="B17" s="1">
        <v>200</v>
      </c>
      <c r="C17" s="1">
        <v>200</v>
      </c>
      <c r="D17" s="1">
        <v>212</v>
      </c>
      <c r="E17" s="1">
        <v>194</v>
      </c>
      <c r="F17" s="1">
        <v>195</v>
      </c>
      <c r="G17" s="1">
        <v>203</v>
      </c>
      <c r="H17" s="1">
        <v>205</v>
      </c>
      <c r="I17" s="1">
        <v>203</v>
      </c>
      <c r="J17" s="1">
        <v>213</v>
      </c>
      <c r="K17" s="1"/>
      <c r="L17" s="1"/>
    </row>
    <row r="18" spans="1:20">
      <c r="A18" s="1">
        <v>100</v>
      </c>
      <c r="B18" s="1">
        <v>200</v>
      </c>
      <c r="C18" s="1">
        <v>198</v>
      </c>
      <c r="D18" s="1">
        <v>210</v>
      </c>
      <c r="E18" s="1">
        <v>193</v>
      </c>
      <c r="F18" s="1">
        <v>196</v>
      </c>
      <c r="G18" s="1">
        <v>202</v>
      </c>
      <c r="H18" s="1">
        <v>204</v>
      </c>
      <c r="I18" s="1">
        <v>205</v>
      </c>
      <c r="J18" s="1">
        <v>212</v>
      </c>
      <c r="K18" s="1"/>
      <c r="L18" s="1"/>
    </row>
    <row r="19" spans="1:20">
      <c r="A19" s="1">
        <v>110</v>
      </c>
      <c r="B19" s="1">
        <v>199</v>
      </c>
      <c r="C19" s="1">
        <v>199</v>
      </c>
      <c r="D19" s="1">
        <v>211</v>
      </c>
      <c r="E19" s="1">
        <v>194</v>
      </c>
      <c r="F19" s="1">
        <v>195</v>
      </c>
      <c r="G19" s="1">
        <v>202</v>
      </c>
      <c r="H19" s="1">
        <v>203</v>
      </c>
      <c r="I19" s="1">
        <v>205</v>
      </c>
      <c r="J19" s="1">
        <v>213</v>
      </c>
      <c r="K19" s="1"/>
      <c r="L19" s="1"/>
    </row>
    <row r="20" spans="1:20">
      <c r="A20" s="1">
        <v>120</v>
      </c>
      <c r="B20" s="1">
        <v>198</v>
      </c>
      <c r="C20" s="1">
        <v>199</v>
      </c>
      <c r="D20" s="1">
        <v>211</v>
      </c>
      <c r="E20" s="1">
        <v>194</v>
      </c>
      <c r="F20" s="1">
        <v>195</v>
      </c>
      <c r="G20" s="1">
        <v>203</v>
      </c>
      <c r="H20" s="1">
        <v>203</v>
      </c>
      <c r="I20" s="1">
        <v>205</v>
      </c>
      <c r="J20" s="1">
        <v>213</v>
      </c>
      <c r="K20" s="1"/>
      <c r="L20" s="1"/>
    </row>
    <row r="21" spans="1:20">
      <c r="A21" t="s">
        <v>6</v>
      </c>
    </row>
    <row r="22" spans="1:20">
      <c r="A22" s="1"/>
      <c r="B22" s="1" t="s">
        <v>12</v>
      </c>
      <c r="C22" s="1" t="s">
        <v>13</v>
      </c>
      <c r="D22" s="1" t="s">
        <v>14</v>
      </c>
      <c r="E22" s="1" t="s">
        <v>15</v>
      </c>
      <c r="F22" s="1" t="s">
        <v>16</v>
      </c>
      <c r="G22" s="1" t="s">
        <v>17</v>
      </c>
      <c r="H22" s="1" t="s">
        <v>18</v>
      </c>
      <c r="I22" s="1" t="s">
        <v>19</v>
      </c>
      <c r="J22" s="1" t="s">
        <v>20</v>
      </c>
      <c r="K22" s="1"/>
      <c r="L22" s="15" t="s">
        <v>64</v>
      </c>
      <c r="M22" s="10" t="s">
        <v>46</v>
      </c>
      <c r="N22" s="10" t="s">
        <v>47</v>
      </c>
      <c r="O22" s="10" t="s">
        <v>48</v>
      </c>
      <c r="P22" s="10" t="s">
        <v>49</v>
      </c>
      <c r="Q22" s="10" t="s">
        <v>50</v>
      </c>
      <c r="R22" s="10" t="s">
        <v>51</v>
      </c>
      <c r="S22" s="10" t="s">
        <v>52</v>
      </c>
      <c r="T22" s="10" t="s">
        <v>53</v>
      </c>
    </row>
    <row r="23" spans="1:20">
      <c r="A23" s="1" t="s">
        <v>10</v>
      </c>
      <c r="B23" s="1">
        <v>195</v>
      </c>
      <c r="C23" s="1">
        <v>193</v>
      </c>
      <c r="D23" s="1">
        <v>195</v>
      </c>
      <c r="E23" s="1">
        <v>194</v>
      </c>
      <c r="F23" s="1">
        <v>194</v>
      </c>
      <c r="G23" s="1">
        <v>195</v>
      </c>
      <c r="H23" s="1">
        <v>202</v>
      </c>
      <c r="I23" s="1">
        <v>202</v>
      </c>
      <c r="J23" s="1">
        <v>204</v>
      </c>
      <c r="K23" s="1"/>
      <c r="L23" s="13" t="s">
        <v>65</v>
      </c>
      <c r="M23" s="11">
        <v>178.2071536</v>
      </c>
      <c r="N23" s="11">
        <v>5.9872930210000002</v>
      </c>
      <c r="O23" s="11">
        <v>173.0262267</v>
      </c>
      <c r="P23" s="11">
        <v>5.4961580760000004</v>
      </c>
      <c r="Q23" s="11">
        <v>179.51940210000001</v>
      </c>
      <c r="R23" s="11">
        <v>5.6700090950000002</v>
      </c>
      <c r="S23" s="11">
        <v>174.59649909999999</v>
      </c>
      <c r="T23" s="11">
        <v>5.4468864080000001</v>
      </c>
    </row>
    <row r="24" spans="1:20">
      <c r="A24" s="1" t="s">
        <v>11</v>
      </c>
      <c r="B24" s="1">
        <v>195</v>
      </c>
      <c r="C24" s="1">
        <v>194</v>
      </c>
      <c r="D24" s="1">
        <v>195</v>
      </c>
      <c r="E24" s="1">
        <v>194</v>
      </c>
      <c r="F24" s="1">
        <v>194</v>
      </c>
      <c r="G24" s="1">
        <v>195</v>
      </c>
      <c r="H24" s="1">
        <v>203</v>
      </c>
      <c r="I24" s="1">
        <v>203</v>
      </c>
      <c r="J24" s="1">
        <v>204</v>
      </c>
      <c r="K24" s="1"/>
      <c r="L24" s="14" t="s">
        <v>66</v>
      </c>
      <c r="M24" s="12">
        <v>179.3170427</v>
      </c>
      <c r="N24" s="12">
        <v>6.2379329659999998</v>
      </c>
      <c r="O24" s="12">
        <v>174.2394717</v>
      </c>
      <c r="P24" s="12">
        <v>5.7995553009999998</v>
      </c>
      <c r="Q24" s="12">
        <v>180.9015886</v>
      </c>
      <c r="R24" s="12">
        <v>6.0127775919999999</v>
      </c>
      <c r="S24" s="12">
        <v>175.7999681</v>
      </c>
      <c r="T24" s="12">
        <v>5.7449041840000001</v>
      </c>
    </row>
    <row r="25" spans="1:20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 t="s">
        <v>62</v>
      </c>
      <c r="M25" s="9">
        <f>100*M23/M24</f>
        <v>99.381046506629673</v>
      </c>
      <c r="N25" s="9">
        <f t="shared" ref="N25:T25" si="0">100*N23/N24</f>
        <v>95.982003231421075</v>
      </c>
      <c r="O25" s="9">
        <f t="shared" si="0"/>
        <v>99.303691070592251</v>
      </c>
      <c r="P25" s="9">
        <f t="shared" si="0"/>
        <v>94.768612259845412</v>
      </c>
      <c r="Q25" s="9">
        <f t="shared" si="0"/>
        <v>99.235945626184517</v>
      </c>
      <c r="R25" s="9">
        <f t="shared" si="0"/>
        <v>94.299331851953866</v>
      </c>
      <c r="S25" s="9">
        <f t="shared" si="0"/>
        <v>99.315432754051784</v>
      </c>
      <c r="T25" s="9">
        <f t="shared" si="0"/>
        <v>94.81248483081751</v>
      </c>
    </row>
    <row r="26" spans="1:20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20">
      <c r="A27" t="s">
        <v>21</v>
      </c>
      <c r="B27">
        <f>AVERAGE(B23:B25)</f>
        <v>195</v>
      </c>
      <c r="C27">
        <f t="shared" ref="C27:J27" si="1">AVERAGE(C23:C25)</f>
        <v>193.5</v>
      </c>
      <c r="D27">
        <f t="shared" si="1"/>
        <v>195</v>
      </c>
      <c r="E27">
        <f t="shared" si="1"/>
        <v>194</v>
      </c>
      <c r="F27">
        <f t="shared" si="1"/>
        <v>194</v>
      </c>
      <c r="G27">
        <f t="shared" si="1"/>
        <v>195</v>
      </c>
      <c r="H27">
        <f t="shared" si="1"/>
        <v>202.5</v>
      </c>
      <c r="I27">
        <f t="shared" si="1"/>
        <v>202.5</v>
      </c>
      <c r="J27">
        <f t="shared" si="1"/>
        <v>204</v>
      </c>
    </row>
    <row r="29" spans="1:20">
      <c r="A29" t="s">
        <v>9</v>
      </c>
    </row>
    <row r="30" spans="1:20">
      <c r="A30" t="s">
        <v>7</v>
      </c>
      <c r="B30" t="s">
        <v>8</v>
      </c>
    </row>
    <row r="31" spans="1:20">
      <c r="B31" t="s">
        <v>22</v>
      </c>
      <c r="C31" t="s">
        <v>23</v>
      </c>
      <c r="D31" t="s">
        <v>24</v>
      </c>
    </row>
    <row r="32" spans="1:20">
      <c r="A32">
        <v>100</v>
      </c>
      <c r="B32">
        <v>195</v>
      </c>
      <c r="C32">
        <v>193</v>
      </c>
      <c r="D32">
        <v>203</v>
      </c>
    </row>
    <row r="33" spans="1:4">
      <c r="A33">
        <v>98</v>
      </c>
      <c r="B33">
        <v>192</v>
      </c>
      <c r="C33">
        <v>189</v>
      </c>
      <c r="D33">
        <v>198</v>
      </c>
    </row>
    <row r="34" spans="1:4">
      <c r="A34">
        <v>96</v>
      </c>
      <c r="B34">
        <v>188</v>
      </c>
      <c r="C34">
        <v>186</v>
      </c>
      <c r="D34">
        <v>195</v>
      </c>
    </row>
    <row r="35" spans="1:4">
      <c r="A35">
        <v>94</v>
      </c>
      <c r="B35">
        <v>184</v>
      </c>
      <c r="C35">
        <v>183</v>
      </c>
      <c r="D35">
        <v>191</v>
      </c>
    </row>
    <row r="36" spans="1:4">
      <c r="A36">
        <v>92</v>
      </c>
      <c r="B36">
        <v>181</v>
      </c>
      <c r="C36">
        <v>179</v>
      </c>
      <c r="D36">
        <v>187</v>
      </c>
    </row>
    <row r="37" spans="1:4">
      <c r="A37">
        <v>90</v>
      </c>
      <c r="B37">
        <v>177</v>
      </c>
      <c r="C37">
        <v>175</v>
      </c>
      <c r="D37">
        <v>183</v>
      </c>
    </row>
    <row r="38" spans="1:4">
      <c r="A38">
        <v>88</v>
      </c>
      <c r="B38">
        <v>173</v>
      </c>
      <c r="C38">
        <v>171</v>
      </c>
      <c r="D38">
        <v>179</v>
      </c>
    </row>
    <row r="39" spans="1:4">
      <c r="A39">
        <v>86</v>
      </c>
      <c r="B39">
        <v>170</v>
      </c>
      <c r="C39">
        <v>168</v>
      </c>
      <c r="D39">
        <v>175</v>
      </c>
    </row>
    <row r="40" spans="1:4">
      <c r="A40">
        <v>84</v>
      </c>
      <c r="B40">
        <v>166</v>
      </c>
      <c r="C40">
        <v>164</v>
      </c>
      <c r="D40">
        <v>171</v>
      </c>
    </row>
    <row r="41" spans="1:4">
      <c r="A41">
        <v>82</v>
      </c>
      <c r="B41">
        <v>162</v>
      </c>
      <c r="C41">
        <v>161</v>
      </c>
      <c r="D41">
        <v>168</v>
      </c>
    </row>
    <row r="42" spans="1:4">
      <c r="A42">
        <v>80</v>
      </c>
      <c r="B42">
        <v>159</v>
      </c>
      <c r="C42">
        <v>157</v>
      </c>
      <c r="D42">
        <v>164</v>
      </c>
    </row>
    <row r="43" spans="1:4">
      <c r="A43">
        <v>78</v>
      </c>
      <c r="B43">
        <v>155</v>
      </c>
      <c r="C43">
        <v>154</v>
      </c>
      <c r="D43">
        <v>160</v>
      </c>
    </row>
    <row r="44" spans="1:4">
      <c r="A44">
        <v>76</v>
      </c>
      <c r="B44">
        <v>152</v>
      </c>
      <c r="C44">
        <v>150</v>
      </c>
      <c r="D44">
        <v>157</v>
      </c>
    </row>
    <row r="45" spans="1:4">
      <c r="A45">
        <v>74</v>
      </c>
      <c r="B45">
        <v>147</v>
      </c>
      <c r="C45">
        <v>146</v>
      </c>
      <c r="D45">
        <v>152</v>
      </c>
    </row>
    <row r="46" spans="1:4">
      <c r="A46">
        <v>72</v>
      </c>
      <c r="B46">
        <v>144</v>
      </c>
      <c r="C46">
        <v>142</v>
      </c>
      <c r="D46">
        <v>148</v>
      </c>
    </row>
    <row r="47" spans="1:4">
      <c r="A47">
        <v>70</v>
      </c>
      <c r="B47">
        <v>140</v>
      </c>
      <c r="C47">
        <v>138</v>
      </c>
      <c r="D47">
        <v>144</v>
      </c>
    </row>
    <row r="48" spans="1:4">
      <c r="A48">
        <v>68</v>
      </c>
      <c r="B48">
        <v>136</v>
      </c>
      <c r="C48">
        <v>135</v>
      </c>
      <c r="D48">
        <v>141</v>
      </c>
    </row>
    <row r="49" spans="1:4">
      <c r="A49">
        <v>66</v>
      </c>
      <c r="B49">
        <v>132</v>
      </c>
      <c r="C49">
        <v>131</v>
      </c>
      <c r="D49">
        <v>137</v>
      </c>
    </row>
    <row r="50" spans="1:4">
      <c r="A50">
        <v>64</v>
      </c>
      <c r="B50">
        <v>129</v>
      </c>
      <c r="C50">
        <v>127</v>
      </c>
      <c r="D50">
        <v>133</v>
      </c>
    </row>
    <row r="51" spans="1:4">
      <c r="A51">
        <v>62</v>
      </c>
      <c r="B51">
        <v>125</v>
      </c>
      <c r="C51">
        <v>124</v>
      </c>
      <c r="D51">
        <v>129</v>
      </c>
    </row>
    <row r="52" spans="1:4">
      <c r="A52">
        <v>60</v>
      </c>
      <c r="B52">
        <v>121</v>
      </c>
      <c r="C52">
        <v>120</v>
      </c>
      <c r="D52">
        <v>125</v>
      </c>
    </row>
    <row r="53" spans="1:4">
      <c r="A53">
        <v>58</v>
      </c>
      <c r="B53">
        <v>117</v>
      </c>
      <c r="C53">
        <v>115</v>
      </c>
      <c r="D53">
        <v>120</v>
      </c>
    </row>
    <row r="54" spans="1:4">
      <c r="A54">
        <v>56</v>
      </c>
      <c r="B54">
        <v>113</v>
      </c>
      <c r="C54">
        <v>112</v>
      </c>
      <c r="D54">
        <v>117</v>
      </c>
    </row>
    <row r="55" spans="1:4">
      <c r="A55">
        <v>54</v>
      </c>
      <c r="B55">
        <v>109</v>
      </c>
      <c r="C55">
        <v>108</v>
      </c>
      <c r="D55">
        <v>113</v>
      </c>
    </row>
    <row r="56" spans="1:4">
      <c r="A56">
        <v>52</v>
      </c>
      <c r="B56">
        <v>105</v>
      </c>
      <c r="C56">
        <v>104</v>
      </c>
      <c r="D56">
        <v>109</v>
      </c>
    </row>
    <row r="57" spans="1:4">
      <c r="A57">
        <v>50</v>
      </c>
      <c r="B57">
        <v>101</v>
      </c>
      <c r="C57">
        <v>101</v>
      </c>
      <c r="D57">
        <v>105</v>
      </c>
    </row>
    <row r="58" spans="1:4">
      <c r="A58">
        <v>48</v>
      </c>
      <c r="B58">
        <v>99</v>
      </c>
      <c r="C58">
        <v>97</v>
      </c>
      <c r="D58">
        <v>101</v>
      </c>
    </row>
    <row r="59" spans="1:4">
      <c r="A59">
        <v>46</v>
      </c>
      <c r="B59">
        <v>95</v>
      </c>
      <c r="C59">
        <v>95</v>
      </c>
      <c r="D59">
        <v>98</v>
      </c>
    </row>
    <row r="60" spans="1:4">
      <c r="A60">
        <v>44</v>
      </c>
      <c r="B60">
        <v>93</v>
      </c>
      <c r="C60">
        <v>92</v>
      </c>
      <c r="D60">
        <v>96</v>
      </c>
    </row>
    <row r="61" spans="1:4">
      <c r="A61">
        <v>42</v>
      </c>
      <c r="B61">
        <v>90</v>
      </c>
      <c r="C61">
        <v>89</v>
      </c>
      <c r="D61">
        <v>93</v>
      </c>
    </row>
    <row r="62" spans="1:4">
      <c r="A62">
        <v>40</v>
      </c>
      <c r="B62">
        <v>87</v>
      </c>
      <c r="C62">
        <v>86</v>
      </c>
      <c r="D62">
        <v>90</v>
      </c>
    </row>
    <row r="63" spans="1:4">
      <c r="A63">
        <v>38</v>
      </c>
      <c r="B63">
        <v>84</v>
      </c>
      <c r="C63">
        <v>83</v>
      </c>
      <c r="D63">
        <v>87</v>
      </c>
    </row>
    <row r="64" spans="1:4">
      <c r="A64">
        <v>36</v>
      </c>
      <c r="B64">
        <v>81</v>
      </c>
      <c r="C64">
        <v>80</v>
      </c>
      <c r="D64">
        <v>83</v>
      </c>
    </row>
    <row r="65" spans="1:4">
      <c r="A65">
        <v>34</v>
      </c>
      <c r="B65">
        <v>79</v>
      </c>
      <c r="C65">
        <v>77</v>
      </c>
      <c r="D65">
        <v>81</v>
      </c>
    </row>
    <row r="66" spans="1:4">
      <c r="A66">
        <v>32</v>
      </c>
      <c r="B66">
        <v>75</v>
      </c>
      <c r="C66">
        <v>74</v>
      </c>
      <c r="D66">
        <v>77</v>
      </c>
    </row>
    <row r="67" spans="1:4">
      <c r="A67">
        <v>30</v>
      </c>
      <c r="B67">
        <v>72</v>
      </c>
      <c r="C67">
        <v>71</v>
      </c>
      <c r="D67">
        <v>74</v>
      </c>
    </row>
    <row r="68" spans="1:4">
      <c r="A68">
        <v>28</v>
      </c>
      <c r="B68">
        <v>69</v>
      </c>
      <c r="C68">
        <v>68</v>
      </c>
      <c r="D68">
        <v>71</v>
      </c>
    </row>
    <row r="69" spans="1:4">
      <c r="A69">
        <v>26</v>
      </c>
      <c r="B69">
        <v>66</v>
      </c>
      <c r="C69">
        <v>65</v>
      </c>
      <c r="D69">
        <v>68</v>
      </c>
    </row>
    <row r="70" spans="1:4">
      <c r="A70">
        <v>24</v>
      </c>
      <c r="B70">
        <v>63</v>
      </c>
      <c r="C70">
        <v>63</v>
      </c>
      <c r="D70">
        <v>65</v>
      </c>
    </row>
    <row r="71" spans="1:4">
      <c r="A71">
        <v>22</v>
      </c>
      <c r="B71">
        <v>60</v>
      </c>
      <c r="C71">
        <v>60</v>
      </c>
      <c r="D71">
        <v>62</v>
      </c>
    </row>
    <row r="72" spans="1:4">
      <c r="A72">
        <v>20</v>
      </c>
      <c r="B72">
        <v>57</v>
      </c>
      <c r="C72">
        <v>57</v>
      </c>
      <c r="D72">
        <v>59</v>
      </c>
    </row>
    <row r="73" spans="1:4">
      <c r="A73">
        <v>18</v>
      </c>
      <c r="B73">
        <v>54</v>
      </c>
      <c r="C73">
        <v>53</v>
      </c>
      <c r="D73">
        <v>55</v>
      </c>
    </row>
    <row r="74" spans="1:4">
      <c r="A74">
        <v>16</v>
      </c>
      <c r="B74">
        <v>51</v>
      </c>
      <c r="C74">
        <v>50</v>
      </c>
      <c r="D74">
        <v>52</v>
      </c>
    </row>
    <row r="75" spans="1:4">
      <c r="A75">
        <v>14</v>
      </c>
      <c r="B75">
        <v>48</v>
      </c>
      <c r="C75">
        <v>48</v>
      </c>
      <c r="D75">
        <v>49</v>
      </c>
    </row>
    <row r="76" spans="1:4">
      <c r="A76">
        <v>12</v>
      </c>
      <c r="B76">
        <v>45</v>
      </c>
      <c r="C76">
        <v>45</v>
      </c>
      <c r="D76">
        <v>46</v>
      </c>
    </row>
    <row r="77" spans="1:4">
      <c r="A77">
        <v>10</v>
      </c>
      <c r="B77">
        <v>42</v>
      </c>
      <c r="C77">
        <v>41</v>
      </c>
      <c r="D77">
        <v>43</v>
      </c>
    </row>
    <row r="78" spans="1:4">
      <c r="A78">
        <v>8</v>
      </c>
      <c r="B78">
        <v>38</v>
      </c>
      <c r="C78">
        <v>38</v>
      </c>
      <c r="D78">
        <v>39</v>
      </c>
    </row>
    <row r="79" spans="1:4">
      <c r="A79">
        <v>6</v>
      </c>
      <c r="B79">
        <v>35</v>
      </c>
      <c r="C79">
        <v>35</v>
      </c>
      <c r="D79">
        <v>36</v>
      </c>
    </row>
    <row r="80" spans="1:4">
      <c r="A80">
        <v>4</v>
      </c>
      <c r="B80">
        <v>33</v>
      </c>
      <c r="C80">
        <v>33</v>
      </c>
      <c r="D80">
        <v>33</v>
      </c>
    </row>
    <row r="81" spans="1:4">
      <c r="A81">
        <v>2</v>
      </c>
      <c r="B81">
        <v>29</v>
      </c>
      <c r="C81">
        <v>29</v>
      </c>
      <c r="D81">
        <v>30</v>
      </c>
    </row>
    <row r="82" spans="1:4">
      <c r="A82">
        <v>0</v>
      </c>
      <c r="B82">
        <v>26</v>
      </c>
      <c r="C82">
        <v>26</v>
      </c>
      <c r="D82">
        <v>26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3BFBA-8482-4406-A3A3-55ADB73C3469}">
  <dimension ref="A1:L12"/>
  <sheetViews>
    <sheetView tabSelected="1" zoomScale="73" workbookViewId="0">
      <selection activeCell="C7" sqref="C7"/>
    </sheetView>
  </sheetViews>
  <sheetFormatPr defaultRowHeight="18"/>
  <cols>
    <col min="1" max="1" width="19.69921875" customWidth="1"/>
    <col min="2" max="12" width="14.19921875" style="20" customWidth="1"/>
  </cols>
  <sheetData>
    <row r="1" spans="1:12">
      <c r="A1" t="s">
        <v>115</v>
      </c>
    </row>
    <row r="2" spans="1:12">
      <c r="A2" s="21" t="s">
        <v>124</v>
      </c>
      <c r="B2" s="4" t="s">
        <v>117</v>
      </c>
      <c r="C2" s="4" t="s">
        <v>118</v>
      </c>
      <c r="D2" s="4" t="s">
        <v>119</v>
      </c>
      <c r="E2" s="4" t="s">
        <v>120</v>
      </c>
      <c r="F2" s="4" t="s">
        <v>121</v>
      </c>
      <c r="G2" s="4" t="s">
        <v>122</v>
      </c>
      <c r="H2" s="4" t="s">
        <v>123</v>
      </c>
    </row>
    <row r="3" spans="1:12">
      <c r="A3" s="19">
        <v>46098</v>
      </c>
      <c r="B3" s="20">
        <v>30</v>
      </c>
      <c r="C3" s="20">
        <v>25</v>
      </c>
      <c r="D3" s="20">
        <v>19</v>
      </c>
      <c r="E3" s="20">
        <v>15</v>
      </c>
      <c r="F3" s="20">
        <v>9</v>
      </c>
      <c r="G3" s="20">
        <v>6</v>
      </c>
      <c r="H3" s="20">
        <v>0</v>
      </c>
    </row>
    <row r="4" spans="1:12">
      <c r="A4" s="19">
        <v>46103</v>
      </c>
      <c r="B4" s="20">
        <v>30</v>
      </c>
      <c r="C4" s="20">
        <v>26</v>
      </c>
      <c r="D4" s="20">
        <v>20</v>
      </c>
      <c r="E4" s="20">
        <v>16</v>
      </c>
      <c r="F4" s="20">
        <v>9</v>
      </c>
      <c r="G4" s="20">
        <v>6</v>
      </c>
      <c r="H4" s="20">
        <v>0</v>
      </c>
    </row>
    <row r="5" spans="1:12">
      <c r="A5" s="19"/>
    </row>
    <row r="6" spans="1:12">
      <c r="A6" t="s">
        <v>113</v>
      </c>
    </row>
    <row r="7" spans="1:12">
      <c r="A7" t="s">
        <v>114</v>
      </c>
    </row>
    <row r="9" spans="1:12">
      <c r="A9" t="s">
        <v>116</v>
      </c>
    </row>
    <row r="10" spans="1:12">
      <c r="A10" s="21" t="s">
        <v>124</v>
      </c>
      <c r="B10" s="4" t="s">
        <v>125</v>
      </c>
      <c r="C10" s="4" t="s">
        <v>126</v>
      </c>
      <c r="D10" s="4" t="s">
        <v>127</v>
      </c>
      <c r="E10" s="4" t="s">
        <v>119</v>
      </c>
      <c r="F10" s="4" t="s">
        <v>128</v>
      </c>
      <c r="G10" s="4" t="s">
        <v>129</v>
      </c>
      <c r="H10" s="4" t="s">
        <v>130</v>
      </c>
      <c r="I10" s="4" t="s">
        <v>131</v>
      </c>
      <c r="J10" s="4" t="s">
        <v>132</v>
      </c>
      <c r="K10" s="4" t="s">
        <v>133</v>
      </c>
      <c r="L10" s="4" t="s">
        <v>123</v>
      </c>
    </row>
    <row r="11" spans="1:12">
      <c r="A11" s="19">
        <v>46098</v>
      </c>
      <c r="B11" s="20">
        <v>97</v>
      </c>
      <c r="C11" s="20">
        <v>87</v>
      </c>
      <c r="D11" s="20">
        <v>77</v>
      </c>
      <c r="E11" s="20">
        <v>67</v>
      </c>
      <c r="F11" s="20">
        <v>58</v>
      </c>
      <c r="G11" s="20">
        <v>49</v>
      </c>
      <c r="H11" s="20">
        <v>38</v>
      </c>
      <c r="I11" s="20">
        <v>29</v>
      </c>
      <c r="J11" s="20">
        <v>19</v>
      </c>
      <c r="K11" s="20">
        <v>10</v>
      </c>
      <c r="L11" s="20">
        <v>0</v>
      </c>
    </row>
    <row r="12" spans="1:12">
      <c r="A12" s="19">
        <v>46103</v>
      </c>
      <c r="B12" s="20">
        <v>99</v>
      </c>
      <c r="C12" s="20">
        <v>89</v>
      </c>
      <c r="D12" s="20">
        <v>79</v>
      </c>
      <c r="E12" s="20">
        <v>69</v>
      </c>
      <c r="F12" s="20">
        <v>60</v>
      </c>
      <c r="G12" s="20">
        <v>50</v>
      </c>
      <c r="H12" s="20">
        <v>39</v>
      </c>
      <c r="I12" s="20">
        <v>30</v>
      </c>
      <c r="J12" s="20">
        <v>20</v>
      </c>
      <c r="K12" s="20">
        <v>10</v>
      </c>
      <c r="L12" s="20">
        <v>0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73ED6-92DB-49CB-BB73-3D59C4C4199E}">
  <dimension ref="A1:S31"/>
  <sheetViews>
    <sheetView topLeftCell="H11" zoomScale="93" workbookViewId="0">
      <selection activeCell="M28" sqref="M28"/>
    </sheetView>
  </sheetViews>
  <sheetFormatPr defaultRowHeight="18"/>
  <cols>
    <col min="6" max="6" width="8.796875" style="17"/>
    <col min="10" max="10" width="8.796875" style="18"/>
  </cols>
  <sheetData>
    <row r="1" spans="1:19">
      <c r="B1" t="s">
        <v>67</v>
      </c>
      <c r="C1" t="s">
        <v>68</v>
      </c>
      <c r="D1" t="s">
        <v>69</v>
      </c>
      <c r="F1" s="17" t="s">
        <v>108</v>
      </c>
      <c r="G1" t="s">
        <v>67</v>
      </c>
      <c r="H1" t="s">
        <v>68</v>
      </c>
      <c r="I1" t="s">
        <v>69</v>
      </c>
      <c r="K1" t="s">
        <v>67</v>
      </c>
      <c r="L1" t="s">
        <v>68</v>
      </c>
      <c r="M1" t="s">
        <v>69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</row>
    <row r="2" spans="1:19">
      <c r="A2" t="s">
        <v>67</v>
      </c>
      <c r="B2">
        <v>245</v>
      </c>
      <c r="C2">
        <v>39</v>
      </c>
      <c r="D2">
        <v>29</v>
      </c>
      <c r="F2" s="17">
        <v>1</v>
      </c>
      <c r="G2">
        <v>52</v>
      </c>
      <c r="H2">
        <v>10</v>
      </c>
      <c r="I2">
        <v>8</v>
      </c>
      <c r="J2" s="18" t="s">
        <v>87</v>
      </c>
      <c r="K2">
        <v>52</v>
      </c>
      <c r="L2">
        <v>9</v>
      </c>
      <c r="M2">
        <v>8</v>
      </c>
      <c r="N2">
        <f>ABS(G2-K2)</f>
        <v>0</v>
      </c>
      <c r="O2">
        <f>ABS(H2-L2)</f>
        <v>1</v>
      </c>
      <c r="P2">
        <f>ABS(I2-M2)</f>
        <v>0</v>
      </c>
      <c r="Q2">
        <f>N2^2</f>
        <v>0</v>
      </c>
      <c r="R2">
        <f t="shared" ref="R2:S11" si="0">O2^2</f>
        <v>1</v>
      </c>
      <c r="S2">
        <f t="shared" si="0"/>
        <v>0</v>
      </c>
    </row>
    <row r="3" spans="1:19">
      <c r="A3" t="s">
        <v>68</v>
      </c>
      <c r="B3">
        <v>66</v>
      </c>
      <c r="C3">
        <v>235</v>
      </c>
      <c r="D3">
        <v>104</v>
      </c>
      <c r="F3" s="17">
        <v>2</v>
      </c>
      <c r="G3">
        <v>9</v>
      </c>
      <c r="H3">
        <v>35</v>
      </c>
      <c r="I3">
        <v>17</v>
      </c>
      <c r="J3" s="18" t="s">
        <v>88</v>
      </c>
      <c r="K3">
        <v>11</v>
      </c>
      <c r="L3">
        <v>37</v>
      </c>
      <c r="M3">
        <v>17</v>
      </c>
      <c r="N3">
        <f t="shared" ref="N3:N11" si="1">ABS(G3-K3)</f>
        <v>2</v>
      </c>
      <c r="O3">
        <f t="shared" ref="O3:O11" si="2">ABS(H3-L3)</f>
        <v>2</v>
      </c>
      <c r="P3">
        <f t="shared" ref="P3:P11" si="3">ABS(I3-M3)</f>
        <v>0</v>
      </c>
      <c r="Q3">
        <f t="shared" ref="Q3:Q11" si="4">N3^2</f>
        <v>4</v>
      </c>
      <c r="R3">
        <f t="shared" si="0"/>
        <v>4</v>
      </c>
      <c r="S3">
        <f t="shared" si="0"/>
        <v>0</v>
      </c>
    </row>
    <row r="4" spans="1:19">
      <c r="A4" t="s">
        <v>69</v>
      </c>
      <c r="B4">
        <v>8</v>
      </c>
      <c r="C4">
        <v>40</v>
      </c>
      <c r="D4">
        <v>191</v>
      </c>
      <c r="F4" s="17">
        <v>3</v>
      </c>
      <c r="G4">
        <v>15</v>
      </c>
      <c r="H4">
        <v>23</v>
      </c>
      <c r="I4">
        <v>28</v>
      </c>
      <c r="J4" s="18" t="s">
        <v>89</v>
      </c>
      <c r="K4">
        <v>20</v>
      </c>
      <c r="L4">
        <v>27</v>
      </c>
      <c r="M4">
        <v>29</v>
      </c>
      <c r="N4">
        <f t="shared" si="1"/>
        <v>5</v>
      </c>
      <c r="O4">
        <f t="shared" si="2"/>
        <v>4</v>
      </c>
      <c r="P4">
        <f t="shared" si="3"/>
        <v>1</v>
      </c>
      <c r="Q4">
        <f t="shared" si="4"/>
        <v>25</v>
      </c>
      <c r="R4">
        <f t="shared" si="0"/>
        <v>16</v>
      </c>
      <c r="S4">
        <f t="shared" si="0"/>
        <v>1</v>
      </c>
    </row>
    <row r="5" spans="1:19">
      <c r="A5" t="s">
        <v>70</v>
      </c>
      <c r="B5">
        <v>46</v>
      </c>
      <c r="C5">
        <v>8</v>
      </c>
      <c r="D5">
        <v>6</v>
      </c>
      <c r="F5" s="17">
        <v>4</v>
      </c>
      <c r="G5">
        <v>28</v>
      </c>
      <c r="H5">
        <v>27</v>
      </c>
      <c r="I5">
        <v>18</v>
      </c>
      <c r="J5" s="18" t="s">
        <v>90</v>
      </c>
      <c r="K5">
        <v>31</v>
      </c>
      <c r="L5">
        <v>29</v>
      </c>
      <c r="M5">
        <v>18</v>
      </c>
      <c r="N5">
        <f t="shared" si="1"/>
        <v>3</v>
      </c>
      <c r="O5">
        <f t="shared" si="2"/>
        <v>2</v>
      </c>
      <c r="P5">
        <f t="shared" si="3"/>
        <v>0</v>
      </c>
      <c r="Q5">
        <f t="shared" si="4"/>
        <v>9</v>
      </c>
      <c r="R5">
        <f t="shared" si="0"/>
        <v>4</v>
      </c>
      <c r="S5">
        <f t="shared" si="0"/>
        <v>0</v>
      </c>
    </row>
    <row r="6" spans="1:19">
      <c r="A6" t="s">
        <v>71</v>
      </c>
      <c r="B6">
        <v>14</v>
      </c>
      <c r="C6">
        <v>53</v>
      </c>
      <c r="D6">
        <v>24</v>
      </c>
      <c r="F6" s="17">
        <v>5</v>
      </c>
      <c r="G6">
        <v>39</v>
      </c>
      <c r="H6">
        <v>8</v>
      </c>
      <c r="I6">
        <v>12</v>
      </c>
      <c r="J6" s="18" t="s">
        <v>91</v>
      </c>
      <c r="K6">
        <v>41</v>
      </c>
      <c r="L6">
        <v>9</v>
      </c>
      <c r="M6">
        <v>13</v>
      </c>
      <c r="N6">
        <f t="shared" si="1"/>
        <v>2</v>
      </c>
      <c r="O6">
        <f t="shared" si="2"/>
        <v>1</v>
      </c>
      <c r="P6">
        <f t="shared" si="3"/>
        <v>1</v>
      </c>
      <c r="Q6">
        <f t="shared" si="4"/>
        <v>4</v>
      </c>
      <c r="R6">
        <f t="shared" si="0"/>
        <v>1</v>
      </c>
      <c r="S6">
        <f t="shared" si="0"/>
        <v>1</v>
      </c>
    </row>
    <row r="7" spans="1:19">
      <c r="A7" t="s">
        <v>72</v>
      </c>
      <c r="B7">
        <v>6</v>
      </c>
      <c r="C7">
        <v>10</v>
      </c>
      <c r="D7">
        <v>52</v>
      </c>
      <c r="F7" s="17">
        <v>6</v>
      </c>
      <c r="G7">
        <v>6</v>
      </c>
      <c r="H7">
        <v>11</v>
      </c>
      <c r="I7">
        <v>9</v>
      </c>
      <c r="J7" s="18" t="s">
        <v>92</v>
      </c>
      <c r="K7">
        <v>5</v>
      </c>
      <c r="L7">
        <v>14</v>
      </c>
      <c r="M7">
        <v>11</v>
      </c>
      <c r="N7">
        <f t="shared" si="1"/>
        <v>1</v>
      </c>
      <c r="O7">
        <f t="shared" si="2"/>
        <v>3</v>
      </c>
      <c r="P7">
        <f t="shared" si="3"/>
        <v>2</v>
      </c>
      <c r="Q7">
        <f t="shared" si="4"/>
        <v>1</v>
      </c>
      <c r="R7">
        <f t="shared" si="0"/>
        <v>9</v>
      </c>
      <c r="S7">
        <f t="shared" si="0"/>
        <v>4</v>
      </c>
    </row>
    <row r="8" spans="1:19">
      <c r="F8" s="17">
        <v>7</v>
      </c>
      <c r="G8">
        <v>60</v>
      </c>
      <c r="H8">
        <v>24</v>
      </c>
      <c r="I8">
        <v>68</v>
      </c>
      <c r="J8" s="18" t="s">
        <v>93</v>
      </c>
      <c r="K8">
        <v>74</v>
      </c>
      <c r="L8">
        <v>28</v>
      </c>
      <c r="M8">
        <v>69</v>
      </c>
      <c r="N8">
        <f t="shared" si="1"/>
        <v>14</v>
      </c>
      <c r="O8">
        <f t="shared" si="2"/>
        <v>4</v>
      </c>
      <c r="P8">
        <f t="shared" si="3"/>
        <v>1</v>
      </c>
      <c r="Q8">
        <f t="shared" si="4"/>
        <v>196</v>
      </c>
      <c r="R8">
        <f t="shared" si="0"/>
        <v>16</v>
      </c>
      <c r="S8">
        <f t="shared" si="0"/>
        <v>1</v>
      </c>
    </row>
    <row r="9" spans="1:19">
      <c r="B9">
        <v>0.18540000000000001</v>
      </c>
      <c r="C9">
        <v>-3.3E-3</v>
      </c>
      <c r="D9">
        <v>2.4299999999999999E-2</v>
      </c>
      <c r="F9" s="17">
        <v>8</v>
      </c>
      <c r="G9">
        <v>6</v>
      </c>
      <c r="H9">
        <v>6</v>
      </c>
      <c r="I9">
        <v>13</v>
      </c>
      <c r="J9" s="18" t="s">
        <v>94</v>
      </c>
      <c r="K9">
        <v>6</v>
      </c>
      <c r="L9">
        <v>7</v>
      </c>
      <c r="M9">
        <v>15</v>
      </c>
      <c r="N9">
        <f t="shared" si="1"/>
        <v>0</v>
      </c>
      <c r="O9">
        <f t="shared" si="2"/>
        <v>1</v>
      </c>
      <c r="P9">
        <f t="shared" si="3"/>
        <v>2</v>
      </c>
      <c r="Q9">
        <f t="shared" si="4"/>
        <v>0</v>
      </c>
      <c r="R9">
        <f t="shared" si="0"/>
        <v>1</v>
      </c>
      <c r="S9">
        <f t="shared" si="0"/>
        <v>4</v>
      </c>
    </row>
    <row r="10" spans="1:19">
      <c r="B10">
        <v>-3.7000000000000002E-3</v>
      </c>
      <c r="C10">
        <v>0.22409999999999999</v>
      </c>
      <c r="D10">
        <v>5.5999999999999999E-3</v>
      </c>
      <c r="F10" s="17">
        <v>9</v>
      </c>
      <c r="G10">
        <v>26</v>
      </c>
      <c r="H10">
        <v>6</v>
      </c>
      <c r="I10">
        <v>6</v>
      </c>
      <c r="J10" s="18" t="s">
        <v>95</v>
      </c>
      <c r="K10">
        <v>29</v>
      </c>
      <c r="L10">
        <v>7</v>
      </c>
      <c r="M10">
        <v>7</v>
      </c>
      <c r="N10">
        <f t="shared" si="1"/>
        <v>3</v>
      </c>
      <c r="O10">
        <f t="shared" si="2"/>
        <v>1</v>
      </c>
      <c r="P10">
        <f t="shared" si="3"/>
        <v>1</v>
      </c>
      <c r="Q10">
        <f t="shared" si="4"/>
        <v>9</v>
      </c>
      <c r="R10">
        <f t="shared" si="0"/>
        <v>1</v>
      </c>
      <c r="S10">
        <f t="shared" si="0"/>
        <v>1</v>
      </c>
    </row>
    <row r="11" spans="1:19">
      <c r="B11">
        <v>-5.1999999999999998E-3</v>
      </c>
      <c r="C11">
        <v>-1.8700000000000001E-2</v>
      </c>
      <c r="D11">
        <v>0.27639999999999998</v>
      </c>
      <c r="F11" s="17">
        <v>10</v>
      </c>
      <c r="G11">
        <v>22</v>
      </c>
      <c r="H11">
        <v>36</v>
      </c>
      <c r="I11">
        <v>44</v>
      </c>
      <c r="J11" s="18" t="s">
        <v>96</v>
      </c>
      <c r="K11">
        <v>27</v>
      </c>
      <c r="L11">
        <v>40</v>
      </c>
      <c r="M11">
        <v>44</v>
      </c>
      <c r="N11">
        <f t="shared" si="1"/>
        <v>5</v>
      </c>
      <c r="O11">
        <f t="shared" si="2"/>
        <v>4</v>
      </c>
      <c r="P11">
        <f t="shared" si="3"/>
        <v>0</v>
      </c>
      <c r="Q11">
        <f t="shared" si="4"/>
        <v>25</v>
      </c>
      <c r="R11">
        <f t="shared" si="0"/>
        <v>16</v>
      </c>
      <c r="S11">
        <f t="shared" si="0"/>
        <v>0</v>
      </c>
    </row>
    <row r="12" spans="1:19">
      <c r="A12" t="s">
        <v>86</v>
      </c>
      <c r="N12">
        <f t="shared" ref="N12:S12" si="5">AVERAGE(N2:N11)</f>
        <v>3.5</v>
      </c>
      <c r="O12">
        <f t="shared" si="5"/>
        <v>2.2999999999999998</v>
      </c>
      <c r="P12">
        <f t="shared" si="5"/>
        <v>0.8</v>
      </c>
      <c r="Q12">
        <f t="shared" si="5"/>
        <v>27.3</v>
      </c>
      <c r="R12">
        <f t="shared" si="5"/>
        <v>6.9</v>
      </c>
      <c r="S12">
        <f t="shared" si="5"/>
        <v>1.2</v>
      </c>
    </row>
    <row r="13" spans="1:19">
      <c r="B13" t="s">
        <v>67</v>
      </c>
      <c r="C13" t="s">
        <v>68</v>
      </c>
      <c r="D13" t="s">
        <v>69</v>
      </c>
      <c r="N13">
        <f>AVERAGE(N12:P12)</f>
        <v>2.1999999999999997</v>
      </c>
      <c r="Q13">
        <f>SQRT(Q12)</f>
        <v>5.2249401910452526</v>
      </c>
      <c r="R13">
        <f>SQRT(R12)</f>
        <v>2.6267851073127395</v>
      </c>
      <c r="S13">
        <f>SQRT(S12)</f>
        <v>1.0954451150103321</v>
      </c>
    </row>
    <row r="14" spans="1:19">
      <c r="A14" t="s">
        <v>67</v>
      </c>
      <c r="B14">
        <v>56.11</v>
      </c>
      <c r="C14">
        <v>8.35</v>
      </c>
      <c r="D14">
        <v>4</v>
      </c>
      <c r="N14" t="s">
        <v>103</v>
      </c>
      <c r="Q14">
        <f>AVERAGE(Q12:S12)</f>
        <v>11.800000000000002</v>
      </c>
      <c r="R14">
        <f>SQRT(Q14)</f>
        <v>3.435112807463534</v>
      </c>
    </row>
    <row r="15" spans="1:19">
      <c r="A15" t="s">
        <v>68</v>
      </c>
      <c r="B15">
        <v>14.3</v>
      </c>
      <c r="C15">
        <v>53.92</v>
      </c>
      <c r="D15">
        <v>23.03</v>
      </c>
      <c r="R15" t="s">
        <v>104</v>
      </c>
    </row>
    <row r="16" spans="1:19">
      <c r="A16" t="s">
        <v>69</v>
      </c>
      <c r="B16">
        <v>0.98</v>
      </c>
      <c r="C16">
        <v>8.36</v>
      </c>
      <c r="D16">
        <v>42.85</v>
      </c>
    </row>
    <row r="17" spans="1:19">
      <c r="A17" t="s">
        <v>70</v>
      </c>
      <c r="B17">
        <v>10.17</v>
      </c>
      <c r="C17">
        <v>1.1499999999999999</v>
      </c>
      <c r="D17">
        <v>0.26</v>
      </c>
      <c r="F17" s="17" t="s">
        <v>109</v>
      </c>
      <c r="G17" t="s">
        <v>67</v>
      </c>
      <c r="H17" t="s">
        <v>68</v>
      </c>
      <c r="I17" t="s">
        <v>69</v>
      </c>
      <c r="J17" s="18" t="s">
        <v>110</v>
      </c>
      <c r="K17" t="s">
        <v>67</v>
      </c>
      <c r="L17" t="s">
        <v>68</v>
      </c>
      <c r="M17" t="s">
        <v>69</v>
      </c>
      <c r="N17" t="s">
        <v>97</v>
      </c>
      <c r="O17" t="s">
        <v>98</v>
      </c>
      <c r="P17" t="s">
        <v>99</v>
      </c>
      <c r="Q17" t="s">
        <v>100</v>
      </c>
      <c r="R17" t="s">
        <v>101</v>
      </c>
      <c r="S17" t="s">
        <v>102</v>
      </c>
    </row>
    <row r="18" spans="1:19">
      <c r="A18" t="s">
        <v>71</v>
      </c>
      <c r="B18">
        <v>2.31</v>
      </c>
      <c r="C18">
        <v>11.93</v>
      </c>
      <c r="D18">
        <v>4.84</v>
      </c>
      <c r="F18" s="17">
        <v>1</v>
      </c>
      <c r="G18">
        <v>52</v>
      </c>
      <c r="H18">
        <v>10</v>
      </c>
      <c r="I18">
        <v>8</v>
      </c>
      <c r="J18" s="18" t="s">
        <v>87</v>
      </c>
      <c r="K18">
        <v>52</v>
      </c>
      <c r="L18">
        <v>10</v>
      </c>
      <c r="M18">
        <v>9</v>
      </c>
      <c r="N18">
        <f>ABS(G18-K18)</f>
        <v>0</v>
      </c>
      <c r="O18">
        <f t="shared" ref="O18:O27" si="6">ABS(H18-L18)</f>
        <v>0</v>
      </c>
      <c r="P18">
        <f t="shared" ref="P18:P27" si="7">ABS(I18-M18)</f>
        <v>1</v>
      </c>
      <c r="Q18">
        <f>N18^2</f>
        <v>0</v>
      </c>
      <c r="R18">
        <f t="shared" ref="R18:R27" si="8">O18^2</f>
        <v>0</v>
      </c>
      <c r="S18">
        <f t="shared" ref="S18:S27" si="9">P18^2</f>
        <v>1</v>
      </c>
    </row>
    <row r="19" spans="1:19">
      <c r="A19" t="s">
        <v>72</v>
      </c>
      <c r="B19">
        <v>0.04</v>
      </c>
      <c r="C19">
        <v>1.74</v>
      </c>
      <c r="D19">
        <v>11.36</v>
      </c>
      <c r="F19" s="17">
        <v>2</v>
      </c>
      <c r="G19">
        <v>10</v>
      </c>
      <c r="H19">
        <v>36</v>
      </c>
      <c r="I19">
        <v>17</v>
      </c>
      <c r="J19" s="18" t="s">
        <v>88</v>
      </c>
      <c r="K19">
        <v>11</v>
      </c>
      <c r="L19">
        <v>38</v>
      </c>
      <c r="M19">
        <v>17</v>
      </c>
      <c r="N19">
        <f t="shared" ref="N19:N27" si="10">ABS(G19-K19)</f>
        <v>1</v>
      </c>
      <c r="O19">
        <f t="shared" si="6"/>
        <v>2</v>
      </c>
      <c r="P19">
        <f t="shared" si="7"/>
        <v>0</v>
      </c>
      <c r="Q19">
        <f t="shared" ref="Q19:Q27" si="11">N19^2</f>
        <v>1</v>
      </c>
      <c r="R19">
        <f t="shared" si="8"/>
        <v>4</v>
      </c>
      <c r="S19">
        <f t="shared" si="9"/>
        <v>0</v>
      </c>
    </row>
    <row r="20" spans="1:19">
      <c r="F20" s="17">
        <v>3</v>
      </c>
      <c r="G20">
        <v>16</v>
      </c>
      <c r="H20">
        <v>24</v>
      </c>
      <c r="I20">
        <v>29</v>
      </c>
      <c r="J20" s="18" t="s">
        <v>89</v>
      </c>
      <c r="K20">
        <v>21</v>
      </c>
      <c r="L20">
        <v>27</v>
      </c>
      <c r="M20">
        <v>29</v>
      </c>
      <c r="N20">
        <f t="shared" si="10"/>
        <v>5</v>
      </c>
      <c r="O20">
        <f t="shared" si="6"/>
        <v>3</v>
      </c>
      <c r="P20">
        <f t="shared" si="7"/>
        <v>0</v>
      </c>
      <c r="Q20">
        <f t="shared" si="11"/>
        <v>25</v>
      </c>
      <c r="R20">
        <f t="shared" si="8"/>
        <v>9</v>
      </c>
      <c r="S20">
        <f t="shared" si="9"/>
        <v>0</v>
      </c>
    </row>
    <row r="21" spans="1:19">
      <c r="F21" s="17">
        <v>4</v>
      </c>
      <c r="G21">
        <v>27</v>
      </c>
      <c r="H21">
        <v>27</v>
      </c>
      <c r="I21">
        <v>19</v>
      </c>
      <c r="J21" s="18" t="s">
        <v>90</v>
      </c>
      <c r="K21">
        <v>31</v>
      </c>
      <c r="L21">
        <v>29</v>
      </c>
      <c r="M21">
        <v>18</v>
      </c>
      <c r="N21">
        <f t="shared" si="10"/>
        <v>4</v>
      </c>
      <c r="O21">
        <f t="shared" si="6"/>
        <v>2</v>
      </c>
      <c r="P21">
        <f t="shared" si="7"/>
        <v>1</v>
      </c>
      <c r="Q21">
        <f t="shared" si="11"/>
        <v>16</v>
      </c>
      <c r="R21">
        <f t="shared" si="8"/>
        <v>4</v>
      </c>
      <c r="S21">
        <f t="shared" si="9"/>
        <v>1</v>
      </c>
    </row>
    <row r="22" spans="1:19">
      <c r="F22" s="17">
        <v>5</v>
      </c>
      <c r="G22">
        <v>39</v>
      </c>
      <c r="H22">
        <v>9</v>
      </c>
      <c r="I22">
        <v>12</v>
      </c>
      <c r="J22" s="18" t="s">
        <v>91</v>
      </c>
      <c r="K22">
        <v>41</v>
      </c>
      <c r="L22">
        <v>9</v>
      </c>
      <c r="M22">
        <v>13</v>
      </c>
      <c r="N22">
        <f t="shared" si="10"/>
        <v>2</v>
      </c>
      <c r="O22">
        <f t="shared" si="6"/>
        <v>0</v>
      </c>
      <c r="P22">
        <f t="shared" si="7"/>
        <v>1</v>
      </c>
      <c r="Q22">
        <f t="shared" si="11"/>
        <v>4</v>
      </c>
      <c r="R22">
        <f t="shared" si="8"/>
        <v>0</v>
      </c>
      <c r="S22">
        <f t="shared" si="9"/>
        <v>1</v>
      </c>
    </row>
    <row r="23" spans="1:19">
      <c r="F23" s="17">
        <v>6</v>
      </c>
      <c r="G23">
        <v>3</v>
      </c>
      <c r="H23">
        <v>11</v>
      </c>
      <c r="I23">
        <v>10</v>
      </c>
      <c r="J23" s="18" t="s">
        <v>92</v>
      </c>
      <c r="K23">
        <v>5</v>
      </c>
      <c r="L23">
        <v>15</v>
      </c>
      <c r="M23">
        <v>11</v>
      </c>
      <c r="N23">
        <f t="shared" si="10"/>
        <v>2</v>
      </c>
      <c r="O23">
        <f t="shared" si="6"/>
        <v>4</v>
      </c>
      <c r="P23">
        <f t="shared" si="7"/>
        <v>1</v>
      </c>
      <c r="Q23">
        <f t="shared" si="11"/>
        <v>4</v>
      </c>
      <c r="R23">
        <f t="shared" si="8"/>
        <v>16</v>
      </c>
      <c r="S23">
        <f t="shared" si="9"/>
        <v>1</v>
      </c>
    </row>
    <row r="24" spans="1:19">
      <c r="F24" s="17">
        <v>7</v>
      </c>
      <c r="G24">
        <v>62</v>
      </c>
      <c r="H24">
        <v>25</v>
      </c>
      <c r="I24">
        <v>67</v>
      </c>
      <c r="J24" s="18" t="s">
        <v>93</v>
      </c>
      <c r="K24">
        <v>74</v>
      </c>
      <c r="L24">
        <v>29</v>
      </c>
      <c r="M24">
        <v>69</v>
      </c>
      <c r="N24">
        <f t="shared" si="10"/>
        <v>12</v>
      </c>
      <c r="O24">
        <f t="shared" si="6"/>
        <v>4</v>
      </c>
      <c r="P24">
        <f t="shared" si="7"/>
        <v>2</v>
      </c>
      <c r="Q24">
        <f t="shared" si="11"/>
        <v>144</v>
      </c>
      <c r="R24">
        <f t="shared" si="8"/>
        <v>16</v>
      </c>
      <c r="S24">
        <f t="shared" si="9"/>
        <v>4</v>
      </c>
    </row>
    <row r="25" spans="1:19">
      <c r="F25" s="17">
        <v>8</v>
      </c>
      <c r="G25">
        <v>3</v>
      </c>
      <c r="H25">
        <v>3</v>
      </c>
      <c r="I25">
        <v>12</v>
      </c>
      <c r="J25" s="18" t="s">
        <v>94</v>
      </c>
      <c r="K25">
        <v>5</v>
      </c>
      <c r="L25">
        <v>5</v>
      </c>
      <c r="M25">
        <v>15</v>
      </c>
      <c r="N25">
        <f t="shared" si="10"/>
        <v>2</v>
      </c>
      <c r="O25">
        <f t="shared" si="6"/>
        <v>2</v>
      </c>
      <c r="P25">
        <f t="shared" si="7"/>
        <v>3</v>
      </c>
      <c r="Q25">
        <f t="shared" si="11"/>
        <v>4</v>
      </c>
      <c r="R25">
        <f t="shared" si="8"/>
        <v>4</v>
      </c>
      <c r="S25">
        <f t="shared" si="9"/>
        <v>9</v>
      </c>
    </row>
    <row r="26" spans="1:19">
      <c r="F26" s="17">
        <v>9</v>
      </c>
      <c r="G26">
        <v>26</v>
      </c>
      <c r="H26">
        <v>6</v>
      </c>
      <c r="I26">
        <v>5</v>
      </c>
      <c r="J26" s="18" t="s">
        <v>95</v>
      </c>
      <c r="K26">
        <v>28</v>
      </c>
      <c r="L26">
        <v>6</v>
      </c>
      <c r="M26">
        <v>6</v>
      </c>
      <c r="N26">
        <f t="shared" si="10"/>
        <v>2</v>
      </c>
      <c r="O26">
        <f t="shared" si="6"/>
        <v>0</v>
      </c>
      <c r="P26">
        <f t="shared" si="7"/>
        <v>1</v>
      </c>
      <c r="Q26">
        <f t="shared" si="11"/>
        <v>4</v>
      </c>
      <c r="R26">
        <f t="shared" si="8"/>
        <v>0</v>
      </c>
      <c r="S26">
        <f t="shared" si="9"/>
        <v>1</v>
      </c>
    </row>
    <row r="27" spans="1:19">
      <c r="F27" s="17">
        <v>10</v>
      </c>
      <c r="G27">
        <v>22</v>
      </c>
      <c r="H27">
        <v>37</v>
      </c>
      <c r="I27">
        <v>44</v>
      </c>
      <c r="J27" s="18" t="s">
        <v>96</v>
      </c>
      <c r="K27">
        <v>28</v>
      </c>
      <c r="L27">
        <v>42</v>
      </c>
      <c r="M27">
        <v>44</v>
      </c>
      <c r="N27">
        <f t="shared" si="10"/>
        <v>6</v>
      </c>
      <c r="O27">
        <f t="shared" si="6"/>
        <v>5</v>
      </c>
      <c r="P27">
        <f t="shared" si="7"/>
        <v>0</v>
      </c>
      <c r="Q27">
        <f t="shared" si="11"/>
        <v>36</v>
      </c>
      <c r="R27">
        <f t="shared" si="8"/>
        <v>25</v>
      </c>
      <c r="S27">
        <f t="shared" si="9"/>
        <v>0</v>
      </c>
    </row>
    <row r="28" spans="1:19">
      <c r="N28">
        <f t="shared" ref="N28:S28" si="12">AVERAGE(N18:N27)</f>
        <v>3.6</v>
      </c>
      <c r="O28">
        <f t="shared" si="12"/>
        <v>2.2000000000000002</v>
      </c>
      <c r="P28">
        <f t="shared" si="12"/>
        <v>1</v>
      </c>
      <c r="Q28">
        <f t="shared" si="12"/>
        <v>23.8</v>
      </c>
      <c r="R28">
        <f t="shared" si="12"/>
        <v>7.8</v>
      </c>
      <c r="S28">
        <f t="shared" si="12"/>
        <v>1.8</v>
      </c>
    </row>
    <row r="29" spans="1:19">
      <c r="N29">
        <f>AVERAGE(N28:P28)</f>
        <v>2.2666666666666671</v>
      </c>
      <c r="Q29">
        <f>SQRT(Q28)</f>
        <v>4.8785243670601872</v>
      </c>
      <c r="R29">
        <f>SQRT(R28)</f>
        <v>2.7928480087537881</v>
      </c>
      <c r="S29">
        <f>SQRT(S28)</f>
        <v>1.3416407864998738</v>
      </c>
    </row>
    <row r="30" spans="1:19">
      <c r="N30" t="s">
        <v>103</v>
      </c>
      <c r="Q30">
        <f>AVERAGE(Q28:S28)</f>
        <v>11.133333333333333</v>
      </c>
      <c r="R30">
        <f>SQRT(Q30)</f>
        <v>3.3366650016645862</v>
      </c>
    </row>
    <row r="31" spans="1:19">
      <c r="R31" t="s">
        <v>104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9"/>
  <sheetViews>
    <sheetView topLeftCell="A61" zoomScale="103" zoomScaleNormal="100" workbookViewId="0">
      <selection activeCell="I36" sqref="I36"/>
    </sheetView>
  </sheetViews>
  <sheetFormatPr defaultRowHeight="18"/>
  <cols>
    <col min="1" max="1" width="20.296875" customWidth="1"/>
    <col min="2" max="14" width="10.09765625" customWidth="1"/>
  </cols>
  <sheetData>
    <row r="1" spans="1:13">
      <c r="A1" t="s">
        <v>0</v>
      </c>
      <c r="B1" t="s">
        <v>1</v>
      </c>
    </row>
    <row r="2" spans="1:13">
      <c r="A2" t="s">
        <v>2</v>
      </c>
      <c r="B2">
        <v>182</v>
      </c>
    </row>
    <row r="3" spans="1:13">
      <c r="A3" t="s">
        <v>3</v>
      </c>
      <c r="B3">
        <v>195</v>
      </c>
    </row>
    <row r="4" spans="1:13">
      <c r="A4" t="s">
        <v>4</v>
      </c>
      <c r="B4">
        <v>211</v>
      </c>
    </row>
    <row r="5" spans="1:13">
      <c r="A5" t="s">
        <v>5</v>
      </c>
      <c r="B5">
        <v>186</v>
      </c>
    </row>
    <row r="7" spans="1:13">
      <c r="A7" t="s">
        <v>6</v>
      </c>
    </row>
    <row r="8" spans="1:13">
      <c r="A8" s="1"/>
      <c r="B8" s="1" t="s">
        <v>12</v>
      </c>
      <c r="C8" s="1" t="s">
        <v>13</v>
      </c>
      <c r="D8" s="1" t="s">
        <v>14</v>
      </c>
      <c r="E8" s="1" t="s">
        <v>15</v>
      </c>
      <c r="F8" s="1" t="s">
        <v>16</v>
      </c>
      <c r="G8" s="1" t="s">
        <v>17</v>
      </c>
      <c r="H8" s="1" t="s">
        <v>18</v>
      </c>
      <c r="I8" s="1" t="s">
        <v>19</v>
      </c>
      <c r="J8" s="1" t="s">
        <v>20</v>
      </c>
      <c r="K8" s="1" t="s">
        <v>43</v>
      </c>
      <c r="L8" s="1" t="s">
        <v>44</v>
      </c>
      <c r="M8" s="1" t="s">
        <v>45</v>
      </c>
    </row>
    <row r="9" spans="1:13">
      <c r="A9" s="1">
        <v>10</v>
      </c>
      <c r="B9" s="1">
        <v>219</v>
      </c>
      <c r="C9" s="1">
        <v>220</v>
      </c>
      <c r="D9" s="1">
        <v>219</v>
      </c>
      <c r="E9" s="1">
        <v>201</v>
      </c>
      <c r="F9" s="1">
        <v>201</v>
      </c>
      <c r="G9" s="1">
        <v>201</v>
      </c>
      <c r="H9" s="1">
        <v>206</v>
      </c>
      <c r="I9" s="1">
        <v>204</v>
      </c>
      <c r="J9" s="1">
        <v>201</v>
      </c>
      <c r="K9" s="1">
        <f>MIN(B9:J9)</f>
        <v>201</v>
      </c>
      <c r="L9" s="1">
        <f>MAX(B9:J9)</f>
        <v>220</v>
      </c>
      <c r="M9">
        <f>200*(L9-K9)/(L9+K9)</f>
        <v>9.026128266033254</v>
      </c>
    </row>
    <row r="10" spans="1:13">
      <c r="A10" s="1">
        <v>20</v>
      </c>
      <c r="B10" s="1">
        <v>221</v>
      </c>
      <c r="C10" s="1">
        <v>224</v>
      </c>
      <c r="D10" s="1">
        <v>224</v>
      </c>
      <c r="E10" s="1">
        <v>205</v>
      </c>
      <c r="F10" s="1">
        <v>206</v>
      </c>
      <c r="G10" s="1">
        <v>204</v>
      </c>
      <c r="H10" s="1">
        <v>210</v>
      </c>
      <c r="I10" s="1">
        <v>209</v>
      </c>
      <c r="J10" s="1">
        <v>206</v>
      </c>
      <c r="K10" s="1">
        <f t="shared" ref="K10:K29" si="0">MIN(B10:J10)</f>
        <v>204</v>
      </c>
      <c r="L10" s="1">
        <f t="shared" ref="L10:L29" si="1">MAX(B10:J10)</f>
        <v>224</v>
      </c>
      <c r="M10">
        <f t="shared" ref="M10:M29" si="2">200*(L10-K10)/(L10+K10)</f>
        <v>9.3457943925233646</v>
      </c>
    </row>
    <row r="11" spans="1:13">
      <c r="A11" s="1">
        <v>30</v>
      </c>
      <c r="B11" s="1">
        <v>223</v>
      </c>
      <c r="C11" s="1">
        <v>225</v>
      </c>
      <c r="D11" s="1">
        <v>226</v>
      </c>
      <c r="E11" s="1">
        <v>208</v>
      </c>
      <c r="F11" s="1">
        <v>208</v>
      </c>
      <c r="G11" s="1">
        <v>205</v>
      </c>
      <c r="H11" s="1">
        <v>212</v>
      </c>
      <c r="I11" s="1">
        <v>210</v>
      </c>
      <c r="J11" s="1">
        <v>208</v>
      </c>
      <c r="K11" s="1">
        <f t="shared" si="0"/>
        <v>205</v>
      </c>
      <c r="L11" s="1">
        <f t="shared" si="1"/>
        <v>226</v>
      </c>
      <c r="M11">
        <f t="shared" si="2"/>
        <v>9.7447795823665899</v>
      </c>
    </row>
    <row r="12" spans="1:13">
      <c r="A12" s="1">
        <v>40</v>
      </c>
      <c r="B12" s="1">
        <v>225</v>
      </c>
      <c r="C12" s="1">
        <v>228</v>
      </c>
      <c r="D12" s="1">
        <v>227</v>
      </c>
      <c r="E12" s="1">
        <v>208</v>
      </c>
      <c r="F12" s="1">
        <v>212</v>
      </c>
      <c r="G12" s="1">
        <v>209</v>
      </c>
      <c r="H12" s="1">
        <v>214</v>
      </c>
      <c r="I12" s="1">
        <v>213</v>
      </c>
      <c r="J12" s="1">
        <v>210</v>
      </c>
      <c r="K12" s="1">
        <f t="shared" si="0"/>
        <v>208</v>
      </c>
      <c r="L12" s="1">
        <f t="shared" si="1"/>
        <v>228</v>
      </c>
      <c r="M12">
        <f t="shared" si="2"/>
        <v>9.1743119266055047</v>
      </c>
    </row>
    <row r="13" spans="1:13">
      <c r="A13" s="1">
        <v>50</v>
      </c>
      <c r="B13" s="1">
        <v>225</v>
      </c>
      <c r="C13" s="1">
        <v>229</v>
      </c>
      <c r="D13" s="1">
        <v>229</v>
      </c>
      <c r="E13" s="1">
        <v>209</v>
      </c>
      <c r="F13" s="1">
        <v>213</v>
      </c>
      <c r="G13" s="1">
        <v>210</v>
      </c>
      <c r="H13" s="1">
        <v>213</v>
      </c>
      <c r="I13" s="1">
        <v>214</v>
      </c>
      <c r="J13" s="1">
        <v>209</v>
      </c>
      <c r="K13" s="1">
        <f t="shared" si="0"/>
        <v>209</v>
      </c>
      <c r="L13" s="1">
        <f t="shared" si="1"/>
        <v>229</v>
      </c>
      <c r="M13">
        <f t="shared" si="2"/>
        <v>9.1324200913242013</v>
      </c>
    </row>
    <row r="14" spans="1:13">
      <c r="A14" s="1">
        <v>60</v>
      </c>
      <c r="B14" s="1">
        <v>224</v>
      </c>
      <c r="C14" s="1">
        <v>229</v>
      </c>
      <c r="D14" s="1">
        <v>227</v>
      </c>
      <c r="E14" s="1">
        <v>210</v>
      </c>
      <c r="F14" s="1">
        <v>212</v>
      </c>
      <c r="G14" s="1">
        <v>209</v>
      </c>
      <c r="H14" s="1">
        <v>214</v>
      </c>
      <c r="I14" s="1">
        <v>213</v>
      </c>
      <c r="J14" s="1">
        <v>209</v>
      </c>
      <c r="K14" s="1">
        <f t="shared" si="0"/>
        <v>209</v>
      </c>
      <c r="L14" s="1">
        <f t="shared" si="1"/>
        <v>229</v>
      </c>
      <c r="M14">
        <f t="shared" si="2"/>
        <v>9.1324200913242013</v>
      </c>
    </row>
    <row r="15" spans="1:13" ht="18" customHeight="1">
      <c r="A15" s="1">
        <v>70</v>
      </c>
      <c r="B15" s="1">
        <v>226</v>
      </c>
      <c r="C15" s="1">
        <v>230</v>
      </c>
      <c r="D15" s="1">
        <v>229</v>
      </c>
      <c r="E15" s="1">
        <v>211</v>
      </c>
      <c r="F15" s="1">
        <v>214</v>
      </c>
      <c r="G15" s="1">
        <v>211</v>
      </c>
      <c r="H15" s="1">
        <v>216</v>
      </c>
      <c r="I15" s="1">
        <v>216</v>
      </c>
      <c r="J15" s="1">
        <v>212</v>
      </c>
      <c r="K15" s="1">
        <f t="shared" si="0"/>
        <v>211</v>
      </c>
      <c r="L15" s="1">
        <f t="shared" si="1"/>
        <v>230</v>
      </c>
      <c r="M15">
        <f t="shared" si="2"/>
        <v>8.616780045351474</v>
      </c>
    </row>
    <row r="16" spans="1:13">
      <c r="A16" s="1">
        <v>80</v>
      </c>
      <c r="B16" s="1">
        <v>228</v>
      </c>
      <c r="C16" s="1">
        <v>231</v>
      </c>
      <c r="D16" s="1">
        <v>232</v>
      </c>
      <c r="E16" s="1">
        <v>211</v>
      </c>
      <c r="F16" s="1">
        <v>214</v>
      </c>
      <c r="G16" s="1">
        <v>211</v>
      </c>
      <c r="H16" s="1">
        <v>217</v>
      </c>
      <c r="I16" s="1">
        <v>215</v>
      </c>
      <c r="J16" s="1">
        <v>212</v>
      </c>
      <c r="K16" s="1">
        <f t="shared" si="0"/>
        <v>211</v>
      </c>
      <c r="L16" s="1">
        <f t="shared" si="1"/>
        <v>232</v>
      </c>
      <c r="M16">
        <f t="shared" si="2"/>
        <v>9.4808126410835207</v>
      </c>
    </row>
    <row r="17" spans="1:13">
      <c r="A17" s="1">
        <v>90</v>
      </c>
      <c r="B17" s="1">
        <v>228</v>
      </c>
      <c r="C17" s="1">
        <v>232</v>
      </c>
      <c r="D17" s="1">
        <v>232</v>
      </c>
      <c r="E17" s="1">
        <v>213</v>
      </c>
      <c r="F17" s="1">
        <v>215</v>
      </c>
      <c r="G17" s="1">
        <v>213</v>
      </c>
      <c r="H17" s="1">
        <v>217</v>
      </c>
      <c r="I17" s="1">
        <v>217</v>
      </c>
      <c r="J17" s="1">
        <v>214</v>
      </c>
      <c r="K17" s="1">
        <f t="shared" si="0"/>
        <v>213</v>
      </c>
      <c r="L17" s="1">
        <f t="shared" si="1"/>
        <v>232</v>
      </c>
      <c r="M17">
        <f t="shared" si="2"/>
        <v>8.5393258426966288</v>
      </c>
    </row>
    <row r="18" spans="1:13">
      <c r="A18" s="1">
        <v>100</v>
      </c>
      <c r="B18" s="1">
        <v>230</v>
      </c>
      <c r="C18" s="1">
        <v>231</v>
      </c>
      <c r="D18" s="1">
        <v>233</v>
      </c>
      <c r="E18" s="1">
        <v>213</v>
      </c>
      <c r="F18" s="1">
        <v>215</v>
      </c>
      <c r="G18" s="1">
        <v>212</v>
      </c>
      <c r="H18" s="1">
        <v>217</v>
      </c>
      <c r="I18" s="1">
        <v>217</v>
      </c>
      <c r="J18" s="1">
        <v>212</v>
      </c>
      <c r="K18" s="1">
        <f t="shared" si="0"/>
        <v>212</v>
      </c>
      <c r="L18" s="1">
        <f t="shared" si="1"/>
        <v>233</v>
      </c>
      <c r="M18">
        <f t="shared" si="2"/>
        <v>9.4382022471910112</v>
      </c>
    </row>
    <row r="19" spans="1:13">
      <c r="A19" s="1">
        <v>110</v>
      </c>
      <c r="B19" s="1">
        <v>226</v>
      </c>
      <c r="C19" s="1">
        <v>232</v>
      </c>
      <c r="D19" s="1">
        <v>230</v>
      </c>
      <c r="E19" s="1">
        <v>213</v>
      </c>
      <c r="F19" s="1">
        <v>216</v>
      </c>
      <c r="G19" s="1">
        <v>212</v>
      </c>
      <c r="H19" s="1">
        <v>217</v>
      </c>
      <c r="I19" s="1">
        <v>218</v>
      </c>
      <c r="J19" s="1">
        <v>214</v>
      </c>
      <c r="K19" s="1">
        <f t="shared" si="0"/>
        <v>212</v>
      </c>
      <c r="L19" s="1">
        <f t="shared" si="1"/>
        <v>232</v>
      </c>
      <c r="M19">
        <f t="shared" si="2"/>
        <v>9.0090090090090094</v>
      </c>
    </row>
    <row r="20" spans="1:13">
      <c r="A20" s="1">
        <v>120</v>
      </c>
      <c r="B20" s="1">
        <v>229</v>
      </c>
      <c r="C20" s="1">
        <v>231</v>
      </c>
      <c r="D20" s="1">
        <v>231</v>
      </c>
      <c r="E20" s="1">
        <v>213</v>
      </c>
      <c r="F20" s="1">
        <v>216</v>
      </c>
      <c r="G20" s="1">
        <v>211</v>
      </c>
      <c r="H20" s="1">
        <v>218</v>
      </c>
      <c r="I20" s="1">
        <v>217</v>
      </c>
      <c r="J20" s="1">
        <v>213</v>
      </c>
      <c r="K20" s="1">
        <f t="shared" si="0"/>
        <v>211</v>
      </c>
      <c r="L20" s="1">
        <f t="shared" si="1"/>
        <v>231</v>
      </c>
      <c r="M20">
        <f t="shared" si="2"/>
        <v>9.0497737556561084</v>
      </c>
    </row>
    <row r="21" spans="1:13">
      <c r="A21" t="s">
        <v>21</v>
      </c>
      <c r="B21">
        <f t="shared" ref="B21:J21" si="3">AVERAGE(B9:B20)</f>
        <v>225.33333333333334</v>
      </c>
      <c r="C21">
        <f t="shared" si="3"/>
        <v>228.5</v>
      </c>
      <c r="D21">
        <f t="shared" si="3"/>
        <v>228.25</v>
      </c>
      <c r="E21">
        <f t="shared" si="3"/>
        <v>209.58333333333334</v>
      </c>
      <c r="F21">
        <f t="shared" si="3"/>
        <v>211.83333333333334</v>
      </c>
      <c r="G21">
        <f t="shared" si="3"/>
        <v>209</v>
      </c>
      <c r="H21">
        <f t="shared" si="3"/>
        <v>214.25</v>
      </c>
      <c r="I21">
        <f t="shared" si="3"/>
        <v>213.58333333333334</v>
      </c>
      <c r="J21">
        <f t="shared" si="3"/>
        <v>210</v>
      </c>
      <c r="K21" s="1">
        <f t="shared" si="0"/>
        <v>209</v>
      </c>
      <c r="L21" s="1">
        <f t="shared" si="1"/>
        <v>228.5</v>
      </c>
      <c r="M21">
        <f t="shared" si="2"/>
        <v>8.9142857142857146</v>
      </c>
    </row>
    <row r="22" spans="1:13">
      <c r="A22" t="s">
        <v>40</v>
      </c>
      <c r="B22" s="1">
        <v>225</v>
      </c>
      <c r="C22" s="1">
        <v>224</v>
      </c>
      <c r="D22" s="1">
        <v>225</v>
      </c>
      <c r="E22" s="1">
        <v>206</v>
      </c>
      <c r="F22" s="1">
        <v>206</v>
      </c>
      <c r="G22" s="1">
        <v>205</v>
      </c>
      <c r="H22" s="1">
        <v>211</v>
      </c>
      <c r="I22" s="1">
        <v>208</v>
      </c>
      <c r="J22" s="1">
        <v>209</v>
      </c>
      <c r="K22" s="1">
        <f t="shared" si="0"/>
        <v>205</v>
      </c>
      <c r="L22" s="1">
        <f t="shared" si="1"/>
        <v>225</v>
      </c>
      <c r="M22">
        <f t="shared" si="2"/>
        <v>9.3023255813953494</v>
      </c>
    </row>
    <row r="23" spans="1:13">
      <c r="A23" t="s">
        <v>35</v>
      </c>
      <c r="B23" s="1">
        <v>230</v>
      </c>
      <c r="C23" s="1">
        <v>233</v>
      </c>
      <c r="D23" s="1">
        <v>229</v>
      </c>
      <c r="E23" s="1">
        <v>215</v>
      </c>
      <c r="F23" s="1">
        <v>216</v>
      </c>
      <c r="G23" s="1">
        <v>211</v>
      </c>
      <c r="H23" s="1">
        <v>218</v>
      </c>
      <c r="I23" s="1">
        <v>218</v>
      </c>
      <c r="J23" s="1">
        <v>214</v>
      </c>
      <c r="K23" s="1">
        <f t="shared" si="0"/>
        <v>211</v>
      </c>
      <c r="L23" s="1">
        <f t="shared" si="1"/>
        <v>233</v>
      </c>
      <c r="M23">
        <f t="shared" si="2"/>
        <v>9.9099099099099099</v>
      </c>
    </row>
    <row r="24" spans="1:13">
      <c r="A24" t="s">
        <v>36</v>
      </c>
      <c r="B24" s="1">
        <v>231</v>
      </c>
      <c r="C24" s="1">
        <v>234</v>
      </c>
      <c r="D24" s="1">
        <v>231</v>
      </c>
      <c r="E24" s="1">
        <v>215</v>
      </c>
      <c r="F24" s="1">
        <v>215</v>
      </c>
      <c r="G24" s="1">
        <v>211</v>
      </c>
      <c r="H24" s="1">
        <v>219</v>
      </c>
      <c r="I24" s="1">
        <v>219</v>
      </c>
      <c r="J24" s="1">
        <v>214</v>
      </c>
      <c r="K24" s="1">
        <f t="shared" si="0"/>
        <v>211</v>
      </c>
      <c r="L24" s="1">
        <f t="shared" si="1"/>
        <v>234</v>
      </c>
      <c r="M24">
        <f t="shared" si="2"/>
        <v>10.337078651685394</v>
      </c>
    </row>
    <row r="25" spans="1:13">
      <c r="A25" t="s">
        <v>37</v>
      </c>
      <c r="B25" s="1">
        <v>207</v>
      </c>
      <c r="C25" s="1">
        <v>208</v>
      </c>
      <c r="D25" s="1">
        <v>205</v>
      </c>
      <c r="E25" s="1">
        <v>192</v>
      </c>
      <c r="F25" s="1">
        <v>191</v>
      </c>
      <c r="G25" s="1">
        <v>190</v>
      </c>
      <c r="H25" s="1">
        <v>196</v>
      </c>
      <c r="I25" s="1">
        <v>193</v>
      </c>
      <c r="J25" s="1">
        <v>189</v>
      </c>
      <c r="K25" s="1">
        <f t="shared" si="0"/>
        <v>189</v>
      </c>
      <c r="L25" s="1">
        <f t="shared" si="1"/>
        <v>208</v>
      </c>
      <c r="M25">
        <f t="shared" si="2"/>
        <v>9.5717884130982362</v>
      </c>
    </row>
    <row r="26" spans="1:13">
      <c r="A26" t="s">
        <v>41</v>
      </c>
      <c r="B26" s="1">
        <v>224</v>
      </c>
      <c r="C26" s="1">
        <v>226</v>
      </c>
      <c r="D26" s="1">
        <v>223</v>
      </c>
      <c r="E26" s="1">
        <v>209</v>
      </c>
      <c r="F26" s="1">
        <v>209</v>
      </c>
      <c r="G26" s="1">
        <v>207</v>
      </c>
      <c r="H26" s="1">
        <v>212</v>
      </c>
      <c r="I26" s="1">
        <v>212</v>
      </c>
      <c r="J26" s="1">
        <v>209</v>
      </c>
      <c r="K26" s="1">
        <f t="shared" si="0"/>
        <v>207</v>
      </c>
      <c r="L26" s="1">
        <f t="shared" si="1"/>
        <v>226</v>
      </c>
      <c r="M26">
        <f t="shared" si="2"/>
        <v>8.7759815242494223</v>
      </c>
    </row>
    <row r="27" spans="1:13">
      <c r="A27" t="s">
        <v>38</v>
      </c>
      <c r="B27" s="1">
        <v>226</v>
      </c>
      <c r="C27" s="1">
        <v>228</v>
      </c>
      <c r="D27" s="1">
        <v>226</v>
      </c>
      <c r="E27" s="1">
        <v>210</v>
      </c>
      <c r="F27" s="1">
        <v>211</v>
      </c>
      <c r="G27" s="1">
        <v>209</v>
      </c>
      <c r="H27" s="1">
        <v>213</v>
      </c>
      <c r="I27" s="1">
        <v>214</v>
      </c>
      <c r="J27" s="1">
        <v>211</v>
      </c>
      <c r="K27" s="1">
        <f t="shared" si="0"/>
        <v>209</v>
      </c>
      <c r="L27" s="1">
        <f t="shared" si="1"/>
        <v>228</v>
      </c>
      <c r="M27">
        <f t="shared" si="2"/>
        <v>8.695652173913043</v>
      </c>
    </row>
    <row r="28" spans="1:13">
      <c r="A28" t="s">
        <v>42</v>
      </c>
      <c r="B28" s="1">
        <v>228</v>
      </c>
      <c r="C28" s="1">
        <v>232</v>
      </c>
      <c r="D28" s="1">
        <v>227</v>
      </c>
      <c r="E28" s="1">
        <v>212</v>
      </c>
      <c r="F28" s="1">
        <v>213</v>
      </c>
      <c r="G28" s="1">
        <v>212</v>
      </c>
      <c r="H28" s="1">
        <v>217</v>
      </c>
      <c r="I28" s="1">
        <v>217</v>
      </c>
      <c r="J28" s="1">
        <v>211</v>
      </c>
      <c r="K28" s="1">
        <f t="shared" si="0"/>
        <v>211</v>
      </c>
      <c r="L28" s="1">
        <f t="shared" si="1"/>
        <v>232</v>
      </c>
      <c r="M28">
        <f t="shared" si="2"/>
        <v>9.4808126410835207</v>
      </c>
    </row>
    <row r="29" spans="1:13">
      <c r="A29" t="s">
        <v>39</v>
      </c>
      <c r="B29" s="1">
        <v>229</v>
      </c>
      <c r="C29" s="1">
        <v>232</v>
      </c>
      <c r="D29" s="1">
        <v>229</v>
      </c>
      <c r="E29" s="1">
        <v>214</v>
      </c>
      <c r="F29" s="1">
        <v>216</v>
      </c>
      <c r="G29" s="1">
        <v>212</v>
      </c>
      <c r="H29" s="1">
        <v>218</v>
      </c>
      <c r="I29" s="1">
        <v>218</v>
      </c>
      <c r="J29" s="1">
        <v>215</v>
      </c>
      <c r="K29" s="1">
        <f t="shared" si="0"/>
        <v>212</v>
      </c>
      <c r="L29" s="1">
        <f t="shared" si="1"/>
        <v>232</v>
      </c>
      <c r="M29">
        <f t="shared" si="2"/>
        <v>9.0090090090090094</v>
      </c>
    </row>
    <row r="30" spans="1:13">
      <c r="B30" s="1"/>
      <c r="E30" s="1"/>
      <c r="H30" s="1"/>
      <c r="I30" s="1"/>
    </row>
    <row r="31" spans="1:13">
      <c r="B31" s="1">
        <v>6</v>
      </c>
      <c r="C31" s="1">
        <v>12</v>
      </c>
      <c r="D31" s="1">
        <v>18</v>
      </c>
      <c r="E31" s="1">
        <v>24</v>
      </c>
      <c r="F31" s="1">
        <v>30</v>
      </c>
      <c r="G31" s="1">
        <v>36</v>
      </c>
      <c r="H31" s="1">
        <v>42</v>
      </c>
      <c r="I31" s="1">
        <v>48</v>
      </c>
      <c r="J31" s="1">
        <v>54</v>
      </c>
      <c r="K31" s="1"/>
    </row>
    <row r="32" spans="1:13">
      <c r="A32" t="s">
        <v>26</v>
      </c>
      <c r="B32" s="1">
        <v>230</v>
      </c>
      <c r="C32" s="1">
        <v>232</v>
      </c>
      <c r="D32" s="1">
        <v>224</v>
      </c>
      <c r="E32" s="1">
        <v>218</v>
      </c>
      <c r="F32">
        <v>214</v>
      </c>
      <c r="G32">
        <v>214</v>
      </c>
      <c r="H32">
        <v>216</v>
      </c>
      <c r="I32">
        <v>219</v>
      </c>
      <c r="J32" s="1">
        <v>219</v>
      </c>
    </row>
    <row r="33" spans="1:17">
      <c r="A33" t="s">
        <v>27</v>
      </c>
      <c r="B33" s="1">
        <v>235</v>
      </c>
      <c r="C33" s="1">
        <v>235</v>
      </c>
      <c r="D33" s="1">
        <v>227</v>
      </c>
      <c r="E33" s="1">
        <v>220</v>
      </c>
      <c r="F33" s="1">
        <v>216</v>
      </c>
      <c r="G33" s="1">
        <v>215</v>
      </c>
      <c r="H33" s="1">
        <v>215</v>
      </c>
      <c r="I33" s="1">
        <v>216</v>
      </c>
      <c r="J33" s="1">
        <v>217</v>
      </c>
    </row>
    <row r="34" spans="1:17">
      <c r="A34" t="s">
        <v>28</v>
      </c>
      <c r="B34">
        <v>244</v>
      </c>
      <c r="C34" s="1">
        <v>232</v>
      </c>
      <c r="D34" s="1">
        <v>223</v>
      </c>
      <c r="E34" s="1">
        <v>216</v>
      </c>
      <c r="F34" s="1">
        <v>210</v>
      </c>
      <c r="G34" s="1">
        <v>210</v>
      </c>
      <c r="H34" s="1">
        <v>212</v>
      </c>
      <c r="I34" s="1">
        <v>214</v>
      </c>
      <c r="J34" s="1">
        <v>223</v>
      </c>
    </row>
    <row r="36" spans="1:17">
      <c r="A36" t="s">
        <v>9</v>
      </c>
      <c r="I36" t="s">
        <v>63</v>
      </c>
      <c r="J36" t="s">
        <v>46</v>
      </c>
      <c r="K36" t="s">
        <v>47</v>
      </c>
      <c r="L36" t="s">
        <v>48</v>
      </c>
      <c r="M36" t="s">
        <v>49</v>
      </c>
      <c r="N36" t="s">
        <v>50</v>
      </c>
      <c r="O36" t="s">
        <v>51</v>
      </c>
      <c r="P36" t="s">
        <v>52</v>
      </c>
      <c r="Q36" t="s">
        <v>53</v>
      </c>
    </row>
    <row r="37" spans="1:17">
      <c r="A37" t="s">
        <v>7</v>
      </c>
      <c r="B37" t="s">
        <v>8</v>
      </c>
      <c r="I37" t="s">
        <v>54</v>
      </c>
      <c r="J37">
        <v>93.8</v>
      </c>
      <c r="K37">
        <v>4.7</v>
      </c>
      <c r="L37">
        <v>79.8</v>
      </c>
      <c r="M37">
        <v>3.5</v>
      </c>
      <c r="N37">
        <v>68.099999999999994</v>
      </c>
      <c r="O37">
        <v>3.3</v>
      </c>
      <c r="P37">
        <v>82</v>
      </c>
      <c r="Q37">
        <v>3.6</v>
      </c>
    </row>
    <row r="38" spans="1:17">
      <c r="B38" t="s">
        <v>29</v>
      </c>
      <c r="C38" t="s">
        <v>30</v>
      </c>
      <c r="D38" t="s">
        <v>31</v>
      </c>
      <c r="E38" t="s">
        <v>32</v>
      </c>
      <c r="F38" t="s">
        <v>33</v>
      </c>
      <c r="G38" t="s">
        <v>34</v>
      </c>
      <c r="I38" t="s">
        <v>55</v>
      </c>
      <c r="J38">
        <v>97.8</v>
      </c>
      <c r="K38">
        <v>9.8000000000000007</v>
      </c>
      <c r="L38">
        <v>84.7</v>
      </c>
      <c r="M38">
        <v>8.4</v>
      </c>
      <c r="N38">
        <v>73.099999999999994</v>
      </c>
      <c r="O38">
        <v>7.7</v>
      </c>
      <c r="P38">
        <v>86.6</v>
      </c>
      <c r="Q38">
        <v>8.6</v>
      </c>
    </row>
    <row r="39" spans="1:17">
      <c r="A39">
        <v>100</v>
      </c>
      <c r="B39">
        <v>231</v>
      </c>
      <c r="C39">
        <v>216</v>
      </c>
      <c r="D39">
        <v>216</v>
      </c>
      <c r="E39">
        <v>232</v>
      </c>
      <c r="F39">
        <v>217</v>
      </c>
      <c r="G39">
        <v>214</v>
      </c>
    </row>
    <row r="40" spans="1:17">
      <c r="A40">
        <v>98</v>
      </c>
      <c r="B40">
        <v>227</v>
      </c>
      <c r="C40">
        <v>212</v>
      </c>
      <c r="D40">
        <v>212</v>
      </c>
    </row>
    <row r="41" spans="1:17">
      <c r="A41">
        <v>96</v>
      </c>
      <c r="B41">
        <v>223</v>
      </c>
      <c r="C41">
        <v>208</v>
      </c>
      <c r="D41">
        <v>208</v>
      </c>
    </row>
    <row r="42" spans="1:17">
      <c r="A42">
        <v>94</v>
      </c>
      <c r="B42">
        <v>219</v>
      </c>
      <c r="C42">
        <v>204</v>
      </c>
      <c r="D42">
        <v>204</v>
      </c>
    </row>
    <row r="43" spans="1:17">
      <c r="A43">
        <v>92</v>
      </c>
      <c r="B43">
        <v>215</v>
      </c>
      <c r="C43">
        <v>200</v>
      </c>
      <c r="D43">
        <v>200</v>
      </c>
    </row>
    <row r="44" spans="1:17">
      <c r="A44">
        <v>90</v>
      </c>
      <c r="B44">
        <v>210</v>
      </c>
      <c r="C44">
        <v>196</v>
      </c>
      <c r="D44">
        <v>195</v>
      </c>
      <c r="E44">
        <v>214</v>
      </c>
      <c r="F44">
        <v>201</v>
      </c>
      <c r="G44">
        <v>197</v>
      </c>
    </row>
    <row r="45" spans="1:17">
      <c r="A45">
        <v>88</v>
      </c>
      <c r="B45">
        <v>205</v>
      </c>
      <c r="C45">
        <v>192</v>
      </c>
      <c r="D45">
        <v>192</v>
      </c>
    </row>
    <row r="46" spans="1:17">
      <c r="A46">
        <v>86</v>
      </c>
      <c r="B46">
        <v>201</v>
      </c>
      <c r="C46">
        <v>188</v>
      </c>
      <c r="D46">
        <v>188</v>
      </c>
    </row>
    <row r="47" spans="1:17">
      <c r="A47">
        <v>84</v>
      </c>
      <c r="B47">
        <v>197</v>
      </c>
      <c r="C47">
        <v>184</v>
      </c>
      <c r="D47">
        <v>183</v>
      </c>
    </row>
    <row r="48" spans="1:17">
      <c r="A48">
        <v>82</v>
      </c>
      <c r="B48">
        <v>193</v>
      </c>
      <c r="C48">
        <v>180</v>
      </c>
      <c r="D48">
        <v>180</v>
      </c>
    </row>
    <row r="49" spans="1:7">
      <c r="A49">
        <v>80</v>
      </c>
      <c r="B49">
        <v>188</v>
      </c>
      <c r="C49">
        <v>176</v>
      </c>
      <c r="D49">
        <v>175</v>
      </c>
      <c r="E49">
        <v>190</v>
      </c>
      <c r="F49">
        <v>179</v>
      </c>
      <c r="G49">
        <v>175</v>
      </c>
    </row>
    <row r="50" spans="1:7">
      <c r="A50">
        <v>78</v>
      </c>
      <c r="B50">
        <v>184</v>
      </c>
      <c r="C50">
        <v>172</v>
      </c>
      <c r="D50">
        <v>171</v>
      </c>
    </row>
    <row r="51" spans="1:7">
      <c r="A51">
        <v>76</v>
      </c>
      <c r="B51">
        <v>180</v>
      </c>
      <c r="C51">
        <v>168</v>
      </c>
      <c r="D51">
        <v>167</v>
      </c>
    </row>
    <row r="52" spans="1:7">
      <c r="A52">
        <v>74</v>
      </c>
      <c r="B52">
        <v>175</v>
      </c>
      <c r="C52">
        <v>163</v>
      </c>
      <c r="D52">
        <v>162</v>
      </c>
    </row>
    <row r="53" spans="1:7">
      <c r="A53">
        <v>72</v>
      </c>
      <c r="B53">
        <v>170</v>
      </c>
      <c r="C53">
        <v>159</v>
      </c>
      <c r="D53">
        <v>158</v>
      </c>
    </row>
    <row r="54" spans="1:7">
      <c r="A54">
        <v>70</v>
      </c>
      <c r="B54">
        <v>166</v>
      </c>
      <c r="C54">
        <v>155</v>
      </c>
      <c r="D54">
        <v>154</v>
      </c>
      <c r="E54">
        <v>169</v>
      </c>
      <c r="F54">
        <v>161</v>
      </c>
      <c r="G54">
        <v>155</v>
      </c>
    </row>
    <row r="55" spans="1:7">
      <c r="A55">
        <v>68</v>
      </c>
      <c r="B55">
        <v>161</v>
      </c>
      <c r="C55">
        <v>150</v>
      </c>
      <c r="D55">
        <v>150</v>
      </c>
    </row>
    <row r="56" spans="1:7">
      <c r="A56">
        <v>66</v>
      </c>
      <c r="B56">
        <v>157</v>
      </c>
      <c r="C56">
        <v>145</v>
      </c>
      <c r="D56">
        <v>145</v>
      </c>
    </row>
    <row r="57" spans="1:7">
      <c r="A57">
        <v>64</v>
      </c>
      <c r="B57">
        <v>152</v>
      </c>
      <c r="C57">
        <v>142</v>
      </c>
      <c r="D57">
        <v>141</v>
      </c>
    </row>
    <row r="58" spans="1:7">
      <c r="A58">
        <v>62</v>
      </c>
      <c r="B58">
        <v>148</v>
      </c>
      <c r="C58">
        <v>138</v>
      </c>
      <c r="D58">
        <v>137</v>
      </c>
    </row>
    <row r="59" spans="1:7">
      <c r="A59">
        <v>60</v>
      </c>
      <c r="B59">
        <v>143</v>
      </c>
      <c r="C59">
        <v>134</v>
      </c>
      <c r="D59">
        <v>133</v>
      </c>
      <c r="E59">
        <v>149</v>
      </c>
      <c r="F59">
        <v>142</v>
      </c>
      <c r="G59">
        <v>137</v>
      </c>
    </row>
    <row r="60" spans="1:7">
      <c r="A60">
        <v>58</v>
      </c>
      <c r="B60">
        <v>138</v>
      </c>
      <c r="C60">
        <v>129</v>
      </c>
      <c r="D60">
        <v>128</v>
      </c>
    </row>
    <row r="61" spans="1:7">
      <c r="A61">
        <v>56</v>
      </c>
      <c r="B61">
        <v>134</v>
      </c>
      <c r="C61">
        <v>124</v>
      </c>
      <c r="D61">
        <v>124</v>
      </c>
    </row>
    <row r="62" spans="1:7">
      <c r="A62">
        <v>54</v>
      </c>
      <c r="B62">
        <v>129</v>
      </c>
      <c r="C62">
        <v>120</v>
      </c>
      <c r="D62">
        <v>120</v>
      </c>
    </row>
    <row r="63" spans="1:7">
      <c r="A63">
        <v>52</v>
      </c>
      <c r="B63">
        <v>124</v>
      </c>
      <c r="C63">
        <v>116</v>
      </c>
      <c r="D63">
        <v>115</v>
      </c>
    </row>
    <row r="64" spans="1:7">
      <c r="A64">
        <v>50</v>
      </c>
      <c r="B64">
        <v>120</v>
      </c>
      <c r="C64">
        <v>112</v>
      </c>
      <c r="D64">
        <v>111</v>
      </c>
      <c r="E64">
        <v>126</v>
      </c>
      <c r="F64">
        <v>120</v>
      </c>
      <c r="G64">
        <v>114</v>
      </c>
    </row>
    <row r="65" spans="1:7">
      <c r="A65">
        <v>48</v>
      </c>
      <c r="B65">
        <v>116</v>
      </c>
      <c r="C65">
        <v>108</v>
      </c>
      <c r="D65">
        <v>108</v>
      </c>
    </row>
    <row r="66" spans="1:7">
      <c r="A66">
        <v>46</v>
      </c>
      <c r="B66">
        <v>113</v>
      </c>
      <c r="C66">
        <v>105</v>
      </c>
      <c r="D66">
        <v>104</v>
      </c>
    </row>
    <row r="67" spans="1:7">
      <c r="A67">
        <v>44</v>
      </c>
      <c r="B67">
        <v>110</v>
      </c>
      <c r="C67">
        <v>102</v>
      </c>
      <c r="D67">
        <v>102</v>
      </c>
    </row>
    <row r="68" spans="1:7">
      <c r="A68">
        <v>42</v>
      </c>
      <c r="B68">
        <v>106</v>
      </c>
      <c r="C68">
        <v>99</v>
      </c>
      <c r="D68">
        <v>98</v>
      </c>
    </row>
    <row r="69" spans="1:7">
      <c r="A69">
        <v>40</v>
      </c>
      <c r="B69">
        <v>103</v>
      </c>
      <c r="C69">
        <v>95</v>
      </c>
      <c r="D69">
        <v>95</v>
      </c>
      <c r="E69">
        <v>102</v>
      </c>
      <c r="F69">
        <v>97</v>
      </c>
      <c r="G69">
        <v>92</v>
      </c>
    </row>
    <row r="70" spans="1:7">
      <c r="A70">
        <v>38</v>
      </c>
      <c r="B70">
        <v>99</v>
      </c>
      <c r="C70">
        <v>92</v>
      </c>
      <c r="D70">
        <v>91</v>
      </c>
    </row>
    <row r="71" spans="1:7">
      <c r="A71">
        <v>36</v>
      </c>
      <c r="B71">
        <v>95</v>
      </c>
      <c r="C71">
        <v>88</v>
      </c>
      <c r="D71">
        <v>88</v>
      </c>
    </row>
    <row r="72" spans="1:7">
      <c r="A72">
        <v>34</v>
      </c>
      <c r="B72">
        <v>92</v>
      </c>
      <c r="C72">
        <v>86</v>
      </c>
      <c r="D72">
        <v>85</v>
      </c>
    </row>
    <row r="73" spans="1:7">
      <c r="A73">
        <v>32</v>
      </c>
      <c r="B73">
        <v>89</v>
      </c>
      <c r="C73">
        <v>82</v>
      </c>
      <c r="D73">
        <v>82</v>
      </c>
    </row>
    <row r="74" spans="1:7">
      <c r="A74">
        <v>30</v>
      </c>
      <c r="B74">
        <v>85</v>
      </c>
      <c r="C74">
        <v>79</v>
      </c>
      <c r="D74">
        <v>78</v>
      </c>
      <c r="E74">
        <v>78</v>
      </c>
      <c r="F74">
        <v>74</v>
      </c>
      <c r="G74">
        <v>69</v>
      </c>
    </row>
    <row r="75" spans="1:7">
      <c r="A75">
        <v>28</v>
      </c>
      <c r="B75">
        <v>81</v>
      </c>
      <c r="C75">
        <v>75</v>
      </c>
      <c r="D75">
        <v>75</v>
      </c>
    </row>
    <row r="76" spans="1:7">
      <c r="A76">
        <v>26</v>
      </c>
      <c r="B76">
        <v>78</v>
      </c>
      <c r="C76">
        <v>72</v>
      </c>
      <c r="D76">
        <v>71</v>
      </c>
    </row>
    <row r="77" spans="1:7">
      <c r="A77">
        <v>24</v>
      </c>
      <c r="B77">
        <v>75</v>
      </c>
      <c r="C77">
        <v>69</v>
      </c>
      <c r="D77">
        <v>69</v>
      </c>
    </row>
    <row r="78" spans="1:7">
      <c r="A78">
        <v>22</v>
      </c>
      <c r="B78">
        <v>71</v>
      </c>
      <c r="C78">
        <v>66</v>
      </c>
      <c r="D78">
        <v>65</v>
      </c>
    </row>
    <row r="79" spans="1:7">
      <c r="A79">
        <v>20</v>
      </c>
      <c r="B79">
        <v>67</v>
      </c>
      <c r="C79">
        <v>62</v>
      </c>
      <c r="D79">
        <v>62</v>
      </c>
      <c r="E79">
        <v>52</v>
      </c>
      <c r="F79">
        <v>51</v>
      </c>
      <c r="G79">
        <v>46</v>
      </c>
    </row>
    <row r="80" spans="1:7">
      <c r="A80">
        <v>18</v>
      </c>
      <c r="B80">
        <v>64</v>
      </c>
      <c r="C80">
        <v>59</v>
      </c>
      <c r="D80">
        <v>58</v>
      </c>
    </row>
    <row r="81" spans="1:7">
      <c r="A81">
        <v>16</v>
      </c>
      <c r="B81">
        <v>60</v>
      </c>
      <c r="C81">
        <v>55</v>
      </c>
      <c r="D81">
        <v>55</v>
      </c>
    </row>
    <row r="82" spans="1:7">
      <c r="A82">
        <v>14</v>
      </c>
      <c r="B82">
        <v>57</v>
      </c>
      <c r="C82">
        <v>52</v>
      </c>
      <c r="D82">
        <v>52</v>
      </c>
    </row>
    <row r="83" spans="1:7">
      <c r="A83">
        <v>12</v>
      </c>
      <c r="B83">
        <v>53</v>
      </c>
      <c r="C83">
        <v>49</v>
      </c>
      <c r="D83">
        <v>48</v>
      </c>
    </row>
    <row r="84" spans="1:7">
      <c r="A84">
        <v>10</v>
      </c>
      <c r="B84">
        <v>49</v>
      </c>
      <c r="C84">
        <v>47</v>
      </c>
      <c r="D84">
        <v>45</v>
      </c>
      <c r="E84">
        <v>27</v>
      </c>
      <c r="F84">
        <v>26</v>
      </c>
      <c r="G84">
        <v>24</v>
      </c>
    </row>
    <row r="85" spans="1:7">
      <c r="A85">
        <v>8</v>
      </c>
      <c r="B85">
        <v>46</v>
      </c>
      <c r="C85">
        <v>42</v>
      </c>
      <c r="D85">
        <v>41</v>
      </c>
    </row>
    <row r="86" spans="1:7">
      <c r="A86">
        <v>6</v>
      </c>
      <c r="B86">
        <v>42</v>
      </c>
      <c r="C86">
        <v>38</v>
      </c>
      <c r="D86">
        <v>38</v>
      </c>
    </row>
    <row r="87" spans="1:7">
      <c r="A87">
        <v>4</v>
      </c>
      <c r="B87">
        <v>39</v>
      </c>
      <c r="C87">
        <v>35</v>
      </c>
      <c r="D87">
        <v>35</v>
      </c>
    </row>
    <row r="88" spans="1:7">
      <c r="A88">
        <v>2</v>
      </c>
      <c r="B88">
        <v>35</v>
      </c>
      <c r="C88">
        <v>32</v>
      </c>
      <c r="D88">
        <v>31</v>
      </c>
    </row>
    <row r="89" spans="1:7">
      <c r="A89">
        <v>0</v>
      </c>
      <c r="B89">
        <v>31</v>
      </c>
      <c r="C89">
        <v>28</v>
      </c>
      <c r="D89">
        <v>28</v>
      </c>
    </row>
  </sheetData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D88B3-AB89-451F-B4F0-D6322845623C}">
  <dimension ref="A1:AF20"/>
  <sheetViews>
    <sheetView zoomScale="105" workbookViewId="0">
      <selection activeCell="N11" sqref="N11"/>
    </sheetView>
  </sheetViews>
  <sheetFormatPr defaultRowHeight="18"/>
  <sheetData>
    <row r="1" spans="1:32">
      <c r="A1">
        <v>0</v>
      </c>
      <c r="B1">
        <v>0</v>
      </c>
      <c r="C1">
        <v>320</v>
      </c>
      <c r="D1">
        <v>640</v>
      </c>
      <c r="E1">
        <v>960</v>
      </c>
      <c r="F1">
        <v>1280</v>
      </c>
      <c r="G1">
        <v>1600</v>
      </c>
      <c r="H1">
        <v>1920</v>
      </c>
      <c r="I1">
        <v>2240</v>
      </c>
      <c r="J1" s="2">
        <v>2560</v>
      </c>
      <c r="L1">
        <v>2560</v>
      </c>
      <c r="N1">
        <v>0</v>
      </c>
      <c r="O1">
        <v>0</v>
      </c>
      <c r="P1">
        <v>480</v>
      </c>
      <c r="Q1">
        <v>800</v>
      </c>
      <c r="R1">
        <v>1120</v>
      </c>
      <c r="S1">
        <v>1440</v>
      </c>
      <c r="T1">
        <v>1760</v>
      </c>
      <c r="U1">
        <v>2080</v>
      </c>
      <c r="X1">
        <v>0</v>
      </c>
      <c r="Y1">
        <v>0</v>
      </c>
      <c r="Z1">
        <v>320</v>
      </c>
      <c r="AA1">
        <v>640</v>
      </c>
      <c r="AB1">
        <v>960</v>
      </c>
      <c r="AC1">
        <v>1280</v>
      </c>
      <c r="AD1">
        <v>1600</v>
      </c>
      <c r="AE1">
        <v>1920</v>
      </c>
      <c r="AF1">
        <v>2240</v>
      </c>
    </row>
    <row r="2" spans="1:32">
      <c r="A2">
        <v>0</v>
      </c>
      <c r="C2">
        <v>7.5</v>
      </c>
      <c r="D2">
        <v>15</v>
      </c>
      <c r="E2">
        <v>22.5</v>
      </c>
      <c r="F2">
        <v>30</v>
      </c>
      <c r="G2">
        <v>37.5</v>
      </c>
      <c r="H2">
        <v>45</v>
      </c>
      <c r="I2">
        <v>52.5</v>
      </c>
      <c r="J2" s="2">
        <v>60</v>
      </c>
      <c r="P2">
        <v>480</v>
      </c>
      <c r="Q2">
        <v>800</v>
      </c>
      <c r="R2">
        <v>1120</v>
      </c>
      <c r="S2">
        <v>1440</v>
      </c>
      <c r="T2">
        <v>1760</v>
      </c>
      <c r="U2">
        <v>2080</v>
      </c>
      <c r="X2">
        <v>0</v>
      </c>
      <c r="Y2" s="3">
        <v>0</v>
      </c>
      <c r="Z2" s="3">
        <v>320</v>
      </c>
      <c r="AA2" s="3">
        <v>640</v>
      </c>
      <c r="AB2" s="3">
        <v>960</v>
      </c>
      <c r="AC2" s="3">
        <v>1280</v>
      </c>
      <c r="AD2" s="3">
        <v>1600</v>
      </c>
      <c r="AE2" s="3">
        <v>1920</v>
      </c>
      <c r="AF2" s="3">
        <v>2240</v>
      </c>
    </row>
    <row r="3" spans="1:32">
      <c r="A3">
        <v>180</v>
      </c>
      <c r="B3">
        <v>4.25</v>
      </c>
      <c r="C3">
        <v>211</v>
      </c>
      <c r="D3">
        <v>202</v>
      </c>
      <c r="E3">
        <v>191</v>
      </c>
      <c r="F3">
        <v>192</v>
      </c>
      <c r="G3">
        <v>199</v>
      </c>
      <c r="H3">
        <v>203</v>
      </c>
      <c r="I3">
        <v>212</v>
      </c>
      <c r="N3">
        <v>270</v>
      </c>
      <c r="O3">
        <v>6.375</v>
      </c>
      <c r="P3">
        <v>204</v>
      </c>
      <c r="Q3">
        <v>193</v>
      </c>
      <c r="R3">
        <v>192</v>
      </c>
      <c r="S3">
        <v>197</v>
      </c>
      <c r="T3">
        <v>202</v>
      </c>
      <c r="U3">
        <v>206</v>
      </c>
      <c r="X3">
        <v>180</v>
      </c>
      <c r="Y3" s="3">
        <v>180</v>
      </c>
    </row>
    <row r="4" spans="1:32">
      <c r="A4">
        <v>360</v>
      </c>
      <c r="B4">
        <v>8.5</v>
      </c>
      <c r="C4">
        <v>206</v>
      </c>
      <c r="D4" s="1">
        <v>198</v>
      </c>
      <c r="E4">
        <v>191</v>
      </c>
      <c r="F4" s="1">
        <v>194</v>
      </c>
      <c r="G4">
        <v>199</v>
      </c>
      <c r="H4">
        <v>203</v>
      </c>
      <c r="I4">
        <v>207</v>
      </c>
      <c r="N4">
        <v>450</v>
      </c>
      <c r="O4">
        <v>10.625</v>
      </c>
      <c r="P4">
        <v>203</v>
      </c>
      <c r="Q4">
        <v>193</v>
      </c>
      <c r="R4">
        <v>192</v>
      </c>
      <c r="S4">
        <v>196</v>
      </c>
      <c r="T4">
        <v>201</v>
      </c>
      <c r="U4">
        <v>204</v>
      </c>
      <c r="X4">
        <v>360</v>
      </c>
      <c r="Y4" s="3">
        <v>360</v>
      </c>
      <c r="AA4" s="1"/>
      <c r="AC4" s="1"/>
    </row>
    <row r="5" spans="1:32">
      <c r="A5">
        <v>540</v>
      </c>
      <c r="B5">
        <v>12.75</v>
      </c>
      <c r="C5">
        <v>205</v>
      </c>
      <c r="D5">
        <v>201</v>
      </c>
      <c r="E5">
        <v>192</v>
      </c>
      <c r="F5">
        <v>194</v>
      </c>
      <c r="G5">
        <v>199</v>
      </c>
      <c r="H5">
        <v>203</v>
      </c>
      <c r="I5">
        <v>206</v>
      </c>
      <c r="N5">
        <v>630</v>
      </c>
      <c r="O5">
        <v>14.875</v>
      </c>
      <c r="P5">
        <v>203</v>
      </c>
      <c r="Q5">
        <v>194</v>
      </c>
      <c r="R5">
        <v>193</v>
      </c>
      <c r="S5">
        <v>199</v>
      </c>
      <c r="T5">
        <v>202</v>
      </c>
      <c r="U5">
        <v>205</v>
      </c>
      <c r="X5">
        <v>540</v>
      </c>
      <c r="Y5" s="3">
        <v>540</v>
      </c>
    </row>
    <row r="6" spans="1:32">
      <c r="A6">
        <v>720</v>
      </c>
      <c r="B6">
        <v>17</v>
      </c>
      <c r="C6">
        <v>210</v>
      </c>
      <c r="D6" s="1">
        <v>199</v>
      </c>
      <c r="E6">
        <v>194</v>
      </c>
      <c r="F6">
        <v>195</v>
      </c>
      <c r="G6">
        <v>200</v>
      </c>
      <c r="H6">
        <v>205</v>
      </c>
      <c r="I6">
        <v>209</v>
      </c>
      <c r="N6">
        <v>810</v>
      </c>
      <c r="O6">
        <v>19.125</v>
      </c>
      <c r="P6">
        <v>206</v>
      </c>
      <c r="Q6">
        <v>195</v>
      </c>
      <c r="R6">
        <v>194</v>
      </c>
      <c r="S6">
        <v>199</v>
      </c>
      <c r="T6">
        <v>205</v>
      </c>
      <c r="U6">
        <v>208</v>
      </c>
      <c r="X6">
        <v>720</v>
      </c>
      <c r="Y6" s="3">
        <v>720</v>
      </c>
      <c r="AA6" s="1"/>
    </row>
    <row r="7" spans="1:32">
      <c r="A7">
        <v>900</v>
      </c>
      <c r="B7">
        <v>21.25</v>
      </c>
      <c r="C7">
        <v>214</v>
      </c>
      <c r="D7">
        <v>202</v>
      </c>
      <c r="E7">
        <v>195</v>
      </c>
      <c r="F7">
        <v>197</v>
      </c>
      <c r="G7">
        <v>201</v>
      </c>
      <c r="H7">
        <v>206</v>
      </c>
      <c r="I7">
        <v>212</v>
      </c>
      <c r="N7">
        <v>990</v>
      </c>
      <c r="O7">
        <v>23.375</v>
      </c>
      <c r="P7">
        <v>209</v>
      </c>
      <c r="Q7">
        <v>198</v>
      </c>
      <c r="R7">
        <v>197</v>
      </c>
      <c r="S7">
        <v>201</v>
      </c>
      <c r="T7">
        <v>207</v>
      </c>
      <c r="U7">
        <v>210</v>
      </c>
      <c r="X7">
        <v>900</v>
      </c>
      <c r="Y7" s="3">
        <v>900</v>
      </c>
    </row>
    <row r="8" spans="1:32">
      <c r="A8">
        <v>1080</v>
      </c>
      <c r="B8">
        <v>25.5</v>
      </c>
      <c r="C8">
        <v>221</v>
      </c>
      <c r="D8" s="1">
        <v>211</v>
      </c>
      <c r="E8">
        <v>198</v>
      </c>
      <c r="F8">
        <v>203</v>
      </c>
      <c r="G8">
        <v>204</v>
      </c>
      <c r="H8">
        <v>213</v>
      </c>
      <c r="I8">
        <v>217</v>
      </c>
      <c r="N8">
        <v>1170</v>
      </c>
      <c r="O8">
        <v>27.625</v>
      </c>
      <c r="P8">
        <v>217</v>
      </c>
      <c r="Q8">
        <v>202</v>
      </c>
      <c r="R8">
        <v>201</v>
      </c>
      <c r="S8">
        <v>204</v>
      </c>
      <c r="T8">
        <v>212</v>
      </c>
      <c r="U8">
        <v>214</v>
      </c>
      <c r="X8">
        <v>1080</v>
      </c>
      <c r="Y8" s="3">
        <v>1080</v>
      </c>
      <c r="AA8" s="1"/>
    </row>
    <row r="9" spans="1:32">
      <c r="A9">
        <v>1260</v>
      </c>
      <c r="B9">
        <v>29.75</v>
      </c>
      <c r="C9">
        <v>226</v>
      </c>
      <c r="D9">
        <v>212</v>
      </c>
      <c r="E9">
        <v>201</v>
      </c>
      <c r="F9">
        <v>203</v>
      </c>
      <c r="G9">
        <v>209</v>
      </c>
      <c r="H9">
        <v>214</v>
      </c>
      <c r="I9">
        <v>219</v>
      </c>
      <c r="N9">
        <v>1350</v>
      </c>
      <c r="O9">
        <v>31.875</v>
      </c>
      <c r="P9">
        <v>217</v>
      </c>
      <c r="Q9">
        <v>199</v>
      </c>
      <c r="R9">
        <v>197</v>
      </c>
      <c r="S9">
        <v>200</v>
      </c>
      <c r="T9">
        <v>206</v>
      </c>
      <c r="U9">
        <v>212</v>
      </c>
      <c r="X9">
        <v>1260</v>
      </c>
      <c r="Y9" s="3">
        <v>1260</v>
      </c>
    </row>
    <row r="10" spans="1:32">
      <c r="A10" s="2">
        <v>1440</v>
      </c>
      <c r="B10" s="2">
        <v>34</v>
      </c>
    </row>
    <row r="11" spans="1:32">
      <c r="O11">
        <v>480</v>
      </c>
      <c r="P11">
        <v>800</v>
      </c>
      <c r="Q11">
        <v>1120</v>
      </c>
      <c r="R11">
        <v>1440</v>
      </c>
      <c r="S11">
        <v>1760</v>
      </c>
      <c r="T11">
        <v>2080</v>
      </c>
    </row>
    <row r="12" spans="1:32">
      <c r="A12">
        <v>0</v>
      </c>
      <c r="B12">
        <v>0</v>
      </c>
      <c r="C12">
        <v>320</v>
      </c>
      <c r="D12">
        <v>640</v>
      </c>
      <c r="E12">
        <v>960</v>
      </c>
      <c r="F12">
        <v>1280</v>
      </c>
      <c r="G12">
        <v>1600</v>
      </c>
      <c r="H12">
        <v>1920</v>
      </c>
      <c r="I12">
        <v>2240</v>
      </c>
      <c r="N12">
        <v>270</v>
      </c>
      <c r="O12">
        <v>204</v>
      </c>
      <c r="P12">
        <v>193</v>
      </c>
      <c r="Q12">
        <v>192</v>
      </c>
      <c r="R12">
        <v>197</v>
      </c>
      <c r="S12">
        <v>202</v>
      </c>
      <c r="T12">
        <v>206</v>
      </c>
    </row>
    <row r="13" spans="1:32">
      <c r="A13">
        <v>0</v>
      </c>
      <c r="B13" s="3">
        <v>0</v>
      </c>
      <c r="C13" s="3">
        <v>320</v>
      </c>
      <c r="D13" s="3">
        <v>640</v>
      </c>
      <c r="E13" s="3">
        <v>960</v>
      </c>
      <c r="F13" s="3">
        <v>1280</v>
      </c>
      <c r="G13" s="3">
        <v>1600</v>
      </c>
      <c r="H13" s="3">
        <v>1920</v>
      </c>
      <c r="I13" s="3">
        <v>2240</v>
      </c>
      <c r="J13" s="1"/>
      <c r="K13" s="1"/>
      <c r="N13">
        <v>450</v>
      </c>
      <c r="O13">
        <v>203</v>
      </c>
      <c r="P13">
        <v>193</v>
      </c>
      <c r="Q13">
        <v>192</v>
      </c>
      <c r="R13">
        <v>196</v>
      </c>
      <c r="S13">
        <v>201</v>
      </c>
      <c r="T13">
        <v>204</v>
      </c>
    </row>
    <row r="14" spans="1:32">
      <c r="A14">
        <v>180</v>
      </c>
      <c r="B14" s="3">
        <v>180</v>
      </c>
      <c r="C14">
        <v>211</v>
      </c>
      <c r="D14">
        <v>202</v>
      </c>
      <c r="E14">
        <v>191</v>
      </c>
      <c r="F14">
        <v>192</v>
      </c>
      <c r="G14">
        <v>199</v>
      </c>
      <c r="H14">
        <v>203</v>
      </c>
      <c r="I14">
        <v>212</v>
      </c>
      <c r="N14">
        <v>630</v>
      </c>
      <c r="O14">
        <v>203</v>
      </c>
      <c r="P14">
        <v>194</v>
      </c>
      <c r="Q14">
        <v>193</v>
      </c>
      <c r="R14">
        <v>199</v>
      </c>
      <c r="S14">
        <v>202</v>
      </c>
      <c r="T14">
        <v>205</v>
      </c>
    </row>
    <row r="15" spans="1:32">
      <c r="A15">
        <v>360</v>
      </c>
      <c r="B15" s="3">
        <v>360</v>
      </c>
      <c r="C15">
        <v>206</v>
      </c>
      <c r="D15" s="1">
        <v>198</v>
      </c>
      <c r="E15">
        <v>191</v>
      </c>
      <c r="F15" s="1">
        <v>194</v>
      </c>
      <c r="G15">
        <v>199</v>
      </c>
      <c r="H15">
        <v>203</v>
      </c>
      <c r="I15">
        <v>207</v>
      </c>
      <c r="N15">
        <v>810</v>
      </c>
      <c r="O15">
        <v>206</v>
      </c>
      <c r="P15">
        <v>195</v>
      </c>
      <c r="Q15">
        <v>194</v>
      </c>
      <c r="R15">
        <v>199</v>
      </c>
      <c r="S15">
        <v>205</v>
      </c>
      <c r="T15">
        <v>208</v>
      </c>
    </row>
    <row r="16" spans="1:32">
      <c r="A16">
        <v>540</v>
      </c>
      <c r="B16" s="3">
        <v>540</v>
      </c>
      <c r="C16">
        <v>205</v>
      </c>
      <c r="D16">
        <v>201</v>
      </c>
      <c r="E16">
        <v>192</v>
      </c>
      <c r="F16">
        <v>194</v>
      </c>
      <c r="G16">
        <v>199</v>
      </c>
      <c r="H16">
        <v>203</v>
      </c>
      <c r="I16">
        <v>206</v>
      </c>
      <c r="N16">
        <v>990</v>
      </c>
      <c r="O16">
        <v>209</v>
      </c>
      <c r="P16">
        <v>198</v>
      </c>
      <c r="Q16">
        <v>197</v>
      </c>
      <c r="R16">
        <v>201</v>
      </c>
      <c r="S16">
        <v>207</v>
      </c>
      <c r="T16">
        <v>210</v>
      </c>
    </row>
    <row r="17" spans="1:20">
      <c r="A17">
        <v>720</v>
      </c>
      <c r="B17" s="3">
        <v>720</v>
      </c>
      <c r="C17">
        <v>210</v>
      </c>
      <c r="D17" s="1">
        <v>199</v>
      </c>
      <c r="E17">
        <v>194</v>
      </c>
      <c r="F17">
        <v>195</v>
      </c>
      <c r="G17">
        <v>200</v>
      </c>
      <c r="H17">
        <v>205</v>
      </c>
      <c r="I17">
        <v>209</v>
      </c>
      <c r="N17">
        <v>1170</v>
      </c>
      <c r="O17">
        <v>217</v>
      </c>
      <c r="P17">
        <v>202</v>
      </c>
      <c r="Q17">
        <v>201</v>
      </c>
      <c r="R17">
        <v>204</v>
      </c>
      <c r="S17">
        <v>212</v>
      </c>
      <c r="T17">
        <v>214</v>
      </c>
    </row>
    <row r="18" spans="1:20">
      <c r="A18">
        <v>900</v>
      </c>
      <c r="B18" s="3">
        <v>900</v>
      </c>
      <c r="C18">
        <v>214</v>
      </c>
      <c r="D18">
        <v>202</v>
      </c>
      <c r="E18">
        <v>195</v>
      </c>
      <c r="F18">
        <v>197</v>
      </c>
      <c r="G18">
        <v>201</v>
      </c>
      <c r="H18">
        <v>206</v>
      </c>
      <c r="I18">
        <v>212</v>
      </c>
      <c r="N18">
        <v>1350</v>
      </c>
      <c r="O18">
        <v>217</v>
      </c>
      <c r="P18">
        <v>199</v>
      </c>
      <c r="Q18">
        <v>197</v>
      </c>
      <c r="R18">
        <v>200</v>
      </c>
      <c r="S18">
        <v>206</v>
      </c>
      <c r="T18">
        <v>212</v>
      </c>
    </row>
    <row r="19" spans="1:20">
      <c r="A19">
        <v>1080</v>
      </c>
      <c r="B19" s="3">
        <v>1080</v>
      </c>
      <c r="C19">
        <v>221</v>
      </c>
      <c r="D19" s="1">
        <v>211</v>
      </c>
      <c r="E19">
        <v>198</v>
      </c>
      <c r="F19">
        <v>203</v>
      </c>
      <c r="G19">
        <v>204</v>
      </c>
      <c r="H19">
        <v>213</v>
      </c>
      <c r="I19">
        <v>217</v>
      </c>
    </row>
    <row r="20" spans="1:20">
      <c r="A20">
        <v>1260</v>
      </c>
      <c r="B20" s="3">
        <v>1260</v>
      </c>
      <c r="C20">
        <v>226</v>
      </c>
      <c r="D20">
        <v>212</v>
      </c>
      <c r="E20">
        <v>201</v>
      </c>
      <c r="F20">
        <v>203</v>
      </c>
      <c r="G20">
        <v>209</v>
      </c>
      <c r="H20">
        <v>214</v>
      </c>
      <c r="I20">
        <v>219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1D99B-35E9-4F54-9502-3DA711A1E317}">
  <dimension ref="A1:AF25"/>
  <sheetViews>
    <sheetView showGridLines="0" topLeftCell="A12" zoomScale="105" workbookViewId="0">
      <selection activeCell="A22" sqref="A22:F24"/>
    </sheetView>
  </sheetViews>
  <sheetFormatPr defaultRowHeight="18"/>
  <cols>
    <col min="1" max="1" width="11.09765625" customWidth="1"/>
  </cols>
  <sheetData>
    <row r="1" spans="1:32">
      <c r="A1">
        <v>0</v>
      </c>
      <c r="B1">
        <v>0</v>
      </c>
      <c r="C1">
        <v>320</v>
      </c>
      <c r="D1">
        <v>640</v>
      </c>
      <c r="E1">
        <v>960</v>
      </c>
      <c r="F1">
        <v>1280</v>
      </c>
      <c r="G1">
        <v>1600</v>
      </c>
      <c r="H1">
        <v>1920</v>
      </c>
      <c r="I1">
        <v>2240</v>
      </c>
      <c r="J1" s="2">
        <v>2560</v>
      </c>
      <c r="L1">
        <v>2560</v>
      </c>
      <c r="N1">
        <v>0</v>
      </c>
      <c r="O1">
        <v>0</v>
      </c>
      <c r="P1">
        <v>480</v>
      </c>
      <c r="Q1">
        <v>800</v>
      </c>
      <c r="R1">
        <v>1120</v>
      </c>
      <c r="S1">
        <v>1440</v>
      </c>
      <c r="T1">
        <v>1760</v>
      </c>
      <c r="U1">
        <v>2080</v>
      </c>
      <c r="X1">
        <v>0</v>
      </c>
      <c r="Y1">
        <v>0</v>
      </c>
      <c r="Z1">
        <v>320</v>
      </c>
      <c r="AA1">
        <v>640</v>
      </c>
      <c r="AB1">
        <v>960</v>
      </c>
      <c r="AC1">
        <v>1280</v>
      </c>
      <c r="AD1">
        <v>1600</v>
      </c>
      <c r="AE1">
        <v>1920</v>
      </c>
      <c r="AF1">
        <v>2240</v>
      </c>
    </row>
    <row r="2" spans="1:32">
      <c r="A2">
        <v>0</v>
      </c>
      <c r="C2">
        <v>7.5</v>
      </c>
      <c r="D2">
        <v>15</v>
      </c>
      <c r="E2">
        <v>22.5</v>
      </c>
      <c r="F2">
        <v>30</v>
      </c>
      <c r="G2">
        <v>37.5</v>
      </c>
      <c r="H2">
        <v>45</v>
      </c>
      <c r="I2">
        <v>52.5</v>
      </c>
      <c r="J2" s="2">
        <v>60</v>
      </c>
      <c r="P2">
        <v>480</v>
      </c>
      <c r="Q2">
        <v>800</v>
      </c>
      <c r="R2">
        <v>1120</v>
      </c>
      <c r="S2">
        <v>1440</v>
      </c>
      <c r="T2">
        <v>1760</v>
      </c>
      <c r="U2">
        <v>2080</v>
      </c>
      <c r="X2">
        <v>0</v>
      </c>
      <c r="Y2" s="3">
        <v>0</v>
      </c>
      <c r="Z2" s="3">
        <v>320</v>
      </c>
      <c r="AA2" s="3">
        <v>640</v>
      </c>
      <c r="AB2" s="3">
        <v>960</v>
      </c>
      <c r="AC2" s="3">
        <v>1280</v>
      </c>
      <c r="AD2" s="3">
        <v>1600</v>
      </c>
      <c r="AE2" s="3">
        <v>1920</v>
      </c>
      <c r="AF2" s="3">
        <v>2240</v>
      </c>
    </row>
    <row r="3" spans="1:32">
      <c r="A3">
        <v>180</v>
      </c>
      <c r="B3">
        <v>4.25</v>
      </c>
      <c r="C3">
        <v>238</v>
      </c>
      <c r="D3">
        <v>225</v>
      </c>
      <c r="E3">
        <v>215</v>
      </c>
      <c r="F3">
        <v>211</v>
      </c>
      <c r="G3">
        <v>214</v>
      </c>
      <c r="H3">
        <v>216</v>
      </c>
      <c r="I3">
        <v>220</v>
      </c>
      <c r="N3">
        <v>270</v>
      </c>
      <c r="O3">
        <v>6.375</v>
      </c>
      <c r="P3">
        <v>234</v>
      </c>
      <c r="Q3">
        <v>222</v>
      </c>
      <c r="R3">
        <v>217</v>
      </c>
      <c r="S3">
        <v>214</v>
      </c>
      <c r="T3">
        <v>217</v>
      </c>
      <c r="U3">
        <v>220</v>
      </c>
      <c r="X3">
        <v>180</v>
      </c>
      <c r="Y3" s="3">
        <v>180</v>
      </c>
    </row>
    <row r="4" spans="1:32">
      <c r="A4">
        <v>360</v>
      </c>
      <c r="B4">
        <v>8.5</v>
      </c>
      <c r="C4">
        <v>236</v>
      </c>
      <c r="D4" s="1">
        <v>228</v>
      </c>
      <c r="E4">
        <v>221</v>
      </c>
      <c r="F4" s="1">
        <v>215</v>
      </c>
      <c r="G4">
        <v>216</v>
      </c>
      <c r="H4">
        <v>218</v>
      </c>
      <c r="I4">
        <v>219</v>
      </c>
      <c r="N4">
        <v>450</v>
      </c>
      <c r="O4">
        <v>10.625</v>
      </c>
      <c r="P4">
        <v>234</v>
      </c>
      <c r="Q4">
        <v>226</v>
      </c>
      <c r="R4">
        <v>219</v>
      </c>
      <c r="S4">
        <v>214</v>
      </c>
      <c r="T4">
        <v>217</v>
      </c>
      <c r="U4">
        <v>219</v>
      </c>
      <c r="X4">
        <v>360</v>
      </c>
      <c r="Y4" s="3">
        <v>360</v>
      </c>
      <c r="AA4" s="1"/>
      <c r="AC4" s="1"/>
    </row>
    <row r="5" spans="1:32">
      <c r="A5">
        <v>540</v>
      </c>
      <c r="B5">
        <v>12.75</v>
      </c>
      <c r="C5">
        <v>236</v>
      </c>
      <c r="D5">
        <v>230</v>
      </c>
      <c r="E5">
        <v>222</v>
      </c>
      <c r="F5">
        <v>215</v>
      </c>
      <c r="G5">
        <v>216</v>
      </c>
      <c r="H5">
        <v>216</v>
      </c>
      <c r="I5">
        <v>217</v>
      </c>
      <c r="N5">
        <v>630</v>
      </c>
      <c r="O5">
        <v>14.875</v>
      </c>
      <c r="P5">
        <v>235</v>
      </c>
      <c r="Q5">
        <v>2224</v>
      </c>
      <c r="R5">
        <v>220</v>
      </c>
      <c r="S5">
        <v>214</v>
      </c>
      <c r="T5">
        <v>219</v>
      </c>
      <c r="U5">
        <v>216</v>
      </c>
      <c r="X5">
        <v>540</v>
      </c>
      <c r="Y5" s="3">
        <v>540</v>
      </c>
    </row>
    <row r="6" spans="1:32">
      <c r="A6">
        <v>720</v>
      </c>
      <c r="B6">
        <v>17</v>
      </c>
      <c r="C6">
        <v>238</v>
      </c>
      <c r="D6" s="1">
        <v>229</v>
      </c>
      <c r="E6">
        <v>221</v>
      </c>
      <c r="F6">
        <v>215</v>
      </c>
      <c r="G6">
        <v>215</v>
      </c>
      <c r="H6">
        <v>214</v>
      </c>
      <c r="I6">
        <v>215</v>
      </c>
      <c r="N6">
        <v>810</v>
      </c>
      <c r="O6">
        <v>19.125</v>
      </c>
      <c r="P6">
        <v>234</v>
      </c>
      <c r="Q6">
        <v>223</v>
      </c>
      <c r="R6">
        <v>218</v>
      </c>
      <c r="S6">
        <v>212</v>
      </c>
      <c r="T6">
        <v>215</v>
      </c>
      <c r="U6">
        <v>214</v>
      </c>
      <c r="X6">
        <v>720</v>
      </c>
      <c r="Y6" s="3">
        <v>720</v>
      </c>
      <c r="AA6" s="1"/>
    </row>
    <row r="7" spans="1:32">
      <c r="A7">
        <v>900</v>
      </c>
      <c r="B7">
        <v>21.25</v>
      </c>
      <c r="C7">
        <v>241</v>
      </c>
      <c r="D7">
        <v>227</v>
      </c>
      <c r="E7">
        <v>220</v>
      </c>
      <c r="F7">
        <v>214</v>
      </c>
      <c r="G7">
        <v>214</v>
      </c>
      <c r="H7">
        <v>215</v>
      </c>
      <c r="I7">
        <v>218</v>
      </c>
      <c r="N7">
        <v>990</v>
      </c>
      <c r="O7">
        <v>23.375</v>
      </c>
      <c r="P7">
        <v>225</v>
      </c>
      <c r="Q7">
        <v>219</v>
      </c>
      <c r="R7">
        <v>216</v>
      </c>
      <c r="S7">
        <v>210</v>
      </c>
      <c r="T7">
        <v>213</v>
      </c>
      <c r="U7">
        <v>215</v>
      </c>
      <c r="X7">
        <v>900</v>
      </c>
      <c r="Y7" s="3">
        <v>900</v>
      </c>
    </row>
    <row r="8" spans="1:32">
      <c r="A8">
        <v>1080</v>
      </c>
      <c r="B8">
        <v>25.5</v>
      </c>
      <c r="C8">
        <v>246</v>
      </c>
      <c r="D8" s="1">
        <v>227</v>
      </c>
      <c r="E8">
        <v>218</v>
      </c>
      <c r="F8">
        <v>212</v>
      </c>
      <c r="G8">
        <v>214</v>
      </c>
      <c r="H8">
        <v>212</v>
      </c>
      <c r="I8">
        <v>222</v>
      </c>
      <c r="N8">
        <v>1170</v>
      </c>
      <c r="O8">
        <v>27.625</v>
      </c>
      <c r="P8">
        <v>239</v>
      </c>
      <c r="Q8">
        <v>221</v>
      </c>
      <c r="R8">
        <v>216</v>
      </c>
      <c r="S8">
        <v>211</v>
      </c>
      <c r="T8">
        <v>217</v>
      </c>
      <c r="U8">
        <v>218</v>
      </c>
      <c r="X8">
        <v>1080</v>
      </c>
      <c r="Y8" s="3">
        <v>1080</v>
      </c>
      <c r="AA8" s="1"/>
    </row>
    <row r="9" spans="1:32">
      <c r="A9">
        <v>1260</v>
      </c>
      <c r="B9">
        <v>29.75</v>
      </c>
      <c r="C9">
        <v>249</v>
      </c>
      <c r="D9">
        <v>230</v>
      </c>
      <c r="E9">
        <v>220</v>
      </c>
      <c r="F9">
        <v>213</v>
      </c>
      <c r="G9">
        <v>215</v>
      </c>
      <c r="H9">
        <v>214</v>
      </c>
      <c r="I9">
        <v>222</v>
      </c>
      <c r="N9">
        <v>1350</v>
      </c>
      <c r="O9">
        <v>31.875</v>
      </c>
      <c r="P9">
        <v>241</v>
      </c>
      <c r="Q9">
        <v>219</v>
      </c>
      <c r="R9">
        <v>216</v>
      </c>
      <c r="S9">
        <v>207</v>
      </c>
      <c r="T9">
        <v>210</v>
      </c>
      <c r="U9">
        <v>214</v>
      </c>
      <c r="X9">
        <v>1260</v>
      </c>
      <c r="Y9" s="3">
        <v>1260</v>
      </c>
    </row>
    <row r="10" spans="1:32">
      <c r="A10" s="2">
        <v>1440</v>
      </c>
      <c r="B10" s="2">
        <v>34</v>
      </c>
    </row>
    <row r="11" spans="1:32">
      <c r="O11">
        <v>480</v>
      </c>
      <c r="P11">
        <v>800</v>
      </c>
      <c r="Q11">
        <v>1120</v>
      </c>
      <c r="R11">
        <v>1440</v>
      </c>
      <c r="S11">
        <v>1760</v>
      </c>
      <c r="T11">
        <v>2080</v>
      </c>
    </row>
    <row r="12" spans="1:32">
      <c r="A12">
        <v>0</v>
      </c>
      <c r="B12">
        <v>0</v>
      </c>
      <c r="C12">
        <v>320</v>
      </c>
      <c r="D12">
        <v>640</v>
      </c>
      <c r="E12">
        <v>960</v>
      </c>
      <c r="F12">
        <v>1280</v>
      </c>
      <c r="G12">
        <v>1600</v>
      </c>
      <c r="H12">
        <v>1920</v>
      </c>
      <c r="I12">
        <v>2240</v>
      </c>
      <c r="N12">
        <v>270</v>
      </c>
      <c r="O12">
        <v>234</v>
      </c>
      <c r="P12">
        <v>222</v>
      </c>
      <c r="Q12">
        <v>217</v>
      </c>
      <c r="R12">
        <v>214</v>
      </c>
      <c r="S12">
        <v>217</v>
      </c>
      <c r="T12">
        <v>220</v>
      </c>
    </row>
    <row r="13" spans="1:32">
      <c r="A13">
        <v>0</v>
      </c>
      <c r="B13" s="3">
        <v>0</v>
      </c>
      <c r="C13" s="3">
        <v>320</v>
      </c>
      <c r="D13" s="3">
        <v>640</v>
      </c>
      <c r="E13" s="3">
        <v>960</v>
      </c>
      <c r="F13" s="3">
        <v>1280</v>
      </c>
      <c r="G13" s="3">
        <v>1600</v>
      </c>
      <c r="H13" s="3">
        <v>1920</v>
      </c>
      <c r="I13" s="3">
        <v>2240</v>
      </c>
      <c r="J13" s="1"/>
      <c r="K13" s="1"/>
      <c r="N13">
        <v>450</v>
      </c>
      <c r="O13">
        <v>234</v>
      </c>
      <c r="P13">
        <v>226</v>
      </c>
      <c r="Q13">
        <v>219</v>
      </c>
      <c r="R13">
        <v>214</v>
      </c>
      <c r="S13">
        <v>217</v>
      </c>
      <c r="T13">
        <v>219</v>
      </c>
    </row>
    <row r="14" spans="1:32">
      <c r="A14">
        <v>180</v>
      </c>
      <c r="B14" s="3">
        <v>180</v>
      </c>
      <c r="C14">
        <v>238</v>
      </c>
      <c r="D14">
        <v>225</v>
      </c>
      <c r="E14">
        <v>215</v>
      </c>
      <c r="F14">
        <v>211</v>
      </c>
      <c r="G14">
        <v>214</v>
      </c>
      <c r="H14">
        <v>216</v>
      </c>
      <c r="I14">
        <v>220</v>
      </c>
      <c r="N14">
        <v>630</v>
      </c>
      <c r="O14">
        <v>235</v>
      </c>
      <c r="P14">
        <v>224</v>
      </c>
      <c r="Q14">
        <v>220</v>
      </c>
      <c r="R14">
        <v>214</v>
      </c>
      <c r="S14">
        <v>219</v>
      </c>
      <c r="T14">
        <v>216</v>
      </c>
    </row>
    <row r="15" spans="1:32">
      <c r="A15">
        <v>360</v>
      </c>
      <c r="B15" s="3">
        <v>360</v>
      </c>
      <c r="C15">
        <v>236</v>
      </c>
      <c r="D15" s="1">
        <v>228</v>
      </c>
      <c r="E15">
        <v>221</v>
      </c>
      <c r="F15" s="1">
        <v>215</v>
      </c>
      <c r="G15">
        <v>216</v>
      </c>
      <c r="H15">
        <v>218</v>
      </c>
      <c r="I15">
        <v>219</v>
      </c>
      <c r="N15">
        <v>810</v>
      </c>
      <c r="O15">
        <v>234</v>
      </c>
      <c r="P15">
        <v>223</v>
      </c>
      <c r="Q15">
        <v>218</v>
      </c>
      <c r="R15">
        <v>212</v>
      </c>
      <c r="S15">
        <v>215</v>
      </c>
      <c r="T15">
        <v>214</v>
      </c>
    </row>
    <row r="16" spans="1:32">
      <c r="A16">
        <v>540</v>
      </c>
      <c r="B16" s="3">
        <v>540</v>
      </c>
      <c r="C16">
        <v>236</v>
      </c>
      <c r="D16">
        <v>230</v>
      </c>
      <c r="E16">
        <v>222</v>
      </c>
      <c r="F16">
        <v>215</v>
      </c>
      <c r="G16">
        <v>216</v>
      </c>
      <c r="H16">
        <v>216</v>
      </c>
      <c r="I16">
        <v>217</v>
      </c>
      <c r="N16">
        <v>990</v>
      </c>
      <c r="O16">
        <v>225</v>
      </c>
      <c r="P16">
        <v>219</v>
      </c>
      <c r="Q16">
        <v>216</v>
      </c>
      <c r="R16">
        <v>210</v>
      </c>
      <c r="S16">
        <v>213</v>
      </c>
      <c r="T16">
        <v>215</v>
      </c>
    </row>
    <row r="17" spans="1:20">
      <c r="A17">
        <v>720</v>
      </c>
      <c r="B17" s="3">
        <v>720</v>
      </c>
      <c r="C17">
        <v>238</v>
      </c>
      <c r="D17" s="1">
        <v>229</v>
      </c>
      <c r="E17">
        <v>221</v>
      </c>
      <c r="F17">
        <v>215</v>
      </c>
      <c r="G17">
        <v>215</v>
      </c>
      <c r="H17">
        <v>214</v>
      </c>
      <c r="I17">
        <v>215</v>
      </c>
      <c r="N17">
        <v>1170</v>
      </c>
      <c r="O17">
        <v>239</v>
      </c>
      <c r="P17">
        <v>221</v>
      </c>
      <c r="Q17">
        <v>216</v>
      </c>
      <c r="R17">
        <v>211</v>
      </c>
      <c r="S17">
        <v>217</v>
      </c>
      <c r="T17">
        <v>218</v>
      </c>
    </row>
    <row r="18" spans="1:20">
      <c r="A18">
        <v>900</v>
      </c>
      <c r="B18" s="3">
        <v>900</v>
      </c>
      <c r="C18">
        <v>241</v>
      </c>
      <c r="D18">
        <v>227</v>
      </c>
      <c r="E18">
        <v>220</v>
      </c>
      <c r="F18">
        <v>214</v>
      </c>
      <c r="G18">
        <v>214</v>
      </c>
      <c r="H18">
        <v>215</v>
      </c>
      <c r="I18">
        <v>218</v>
      </c>
      <c r="N18">
        <v>1350</v>
      </c>
      <c r="O18">
        <v>241</v>
      </c>
      <c r="P18">
        <v>219</v>
      </c>
      <c r="Q18">
        <v>216</v>
      </c>
      <c r="R18">
        <v>207</v>
      </c>
      <c r="S18">
        <v>210</v>
      </c>
      <c r="T18">
        <v>214</v>
      </c>
    </row>
    <row r="19" spans="1:20">
      <c r="A19">
        <v>1080</v>
      </c>
      <c r="B19" s="3">
        <v>1080</v>
      </c>
      <c r="C19">
        <v>246</v>
      </c>
      <c r="D19" s="1">
        <v>227</v>
      </c>
      <c r="E19">
        <v>218</v>
      </c>
      <c r="F19">
        <v>212</v>
      </c>
      <c r="G19">
        <v>214</v>
      </c>
      <c r="H19">
        <v>212</v>
      </c>
      <c r="I19">
        <v>222</v>
      </c>
    </row>
    <row r="20" spans="1:20">
      <c r="A20">
        <v>1260</v>
      </c>
      <c r="B20" s="3">
        <v>1260</v>
      </c>
      <c r="C20">
        <v>249</v>
      </c>
      <c r="D20">
        <v>230</v>
      </c>
      <c r="E20">
        <v>220</v>
      </c>
      <c r="F20">
        <v>213</v>
      </c>
      <c r="G20">
        <v>215</v>
      </c>
      <c r="H20">
        <v>214</v>
      </c>
      <c r="I20">
        <v>222</v>
      </c>
    </row>
    <row r="22" spans="1:20">
      <c r="A22" s="16"/>
      <c r="B22" s="16" t="s">
        <v>75</v>
      </c>
      <c r="C22" s="16" t="s">
        <v>76</v>
      </c>
      <c r="D22" s="16" t="s">
        <v>78</v>
      </c>
      <c r="E22" s="16" t="s">
        <v>79</v>
      </c>
      <c r="F22" s="16" t="s">
        <v>80</v>
      </c>
      <c r="G22" s="16" t="s">
        <v>80</v>
      </c>
      <c r="H22" s="16" t="s">
        <v>81</v>
      </c>
      <c r="I22" s="16" t="s">
        <v>82</v>
      </c>
      <c r="J22" s="16" t="s">
        <v>83</v>
      </c>
      <c r="K22" s="16" t="s">
        <v>77</v>
      </c>
      <c r="L22" s="16" t="s">
        <v>84</v>
      </c>
      <c r="M22" s="16" t="s">
        <v>85</v>
      </c>
    </row>
    <row r="23" spans="1:20">
      <c r="A23" s="13" t="s">
        <v>74</v>
      </c>
      <c r="B23" s="13">
        <v>214</v>
      </c>
      <c r="C23" s="13">
        <v>227</v>
      </c>
      <c r="D23" s="13">
        <v>228</v>
      </c>
      <c r="E23" s="13">
        <v>209</v>
      </c>
      <c r="F23" s="13">
        <v>212</v>
      </c>
      <c r="G23" s="13">
        <v>212</v>
      </c>
      <c r="H23" s="13"/>
      <c r="I23" s="13"/>
      <c r="J23" s="13"/>
      <c r="K23" s="13"/>
      <c r="L23" s="13"/>
      <c r="M23" s="13"/>
    </row>
    <row r="24" spans="1:20">
      <c r="A24" s="14" t="s">
        <v>73</v>
      </c>
      <c r="B24" s="14">
        <v>208</v>
      </c>
      <c r="C24" s="14">
        <v>210</v>
      </c>
      <c r="D24" s="14">
        <v>221</v>
      </c>
      <c r="E24" s="14">
        <v>201</v>
      </c>
      <c r="F24" s="14">
        <v>203</v>
      </c>
      <c r="G24" s="14">
        <v>203</v>
      </c>
      <c r="H24" s="14"/>
      <c r="I24" s="14"/>
      <c r="J24" s="14"/>
      <c r="K24" s="14"/>
      <c r="L24" s="14"/>
      <c r="M24" s="14"/>
    </row>
    <row r="25" spans="1:20">
      <c r="F25">
        <v>201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1A220-ECA8-426C-9CB4-6411C694E3C1}">
  <dimension ref="A1:E4"/>
  <sheetViews>
    <sheetView showGridLines="0" workbookViewId="0">
      <selection sqref="A1:E4"/>
    </sheetView>
  </sheetViews>
  <sheetFormatPr defaultRowHeight="18"/>
  <sheetData>
    <row r="1" spans="1:5">
      <c r="A1" s="4"/>
      <c r="B1" s="22" t="s">
        <v>58</v>
      </c>
      <c r="C1" s="22"/>
      <c r="D1" s="22" t="s">
        <v>59</v>
      </c>
      <c r="E1" s="22"/>
    </row>
    <row r="2" spans="1:5">
      <c r="A2" s="4"/>
      <c r="B2" s="4" t="s">
        <v>60</v>
      </c>
      <c r="C2" s="4" t="s">
        <v>61</v>
      </c>
      <c r="D2" s="4" t="s">
        <v>60</v>
      </c>
      <c r="E2" s="4" t="s">
        <v>61</v>
      </c>
    </row>
    <row r="3" spans="1:5">
      <c r="A3" s="5" t="s">
        <v>57</v>
      </c>
      <c r="B3" s="6">
        <v>0.69745999999999997</v>
      </c>
      <c r="C3" s="6">
        <v>0.10964</v>
      </c>
      <c r="D3" s="6">
        <v>0.60734999999999995</v>
      </c>
      <c r="E3" s="6">
        <v>0.10181</v>
      </c>
    </row>
    <row r="4" spans="1:5">
      <c r="A4" s="7" t="s">
        <v>56</v>
      </c>
      <c r="B4" s="8">
        <v>0.71084000000000003</v>
      </c>
      <c r="C4" s="8">
        <v>0.13605</v>
      </c>
      <c r="D4" s="8">
        <v>0.67515999999999998</v>
      </c>
      <c r="E4" s="8">
        <v>0.13703000000000001</v>
      </c>
    </row>
  </sheetData>
  <mergeCells count="2">
    <mergeCell ref="B1:C1"/>
    <mergeCell ref="D1:E1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FG_RGB_Trance</vt:lpstr>
      <vt:lpstr>FG補正OFF</vt:lpstr>
      <vt:lpstr>FGDisplay</vt:lpstr>
      <vt:lpstr>画素値固定</vt:lpstr>
      <vt:lpstr>BG_RGB_Trance</vt:lpstr>
      <vt:lpstr>BGDisplay</vt:lpstr>
      <vt:lpstr>FGLUMI</vt:lpstr>
      <vt:lpstr>BGLUMI</vt:lpstr>
      <vt:lpstr>BG補正OFF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HamaKazu</dc:creator>
  <cp:lastModifiedBy>濵田　和希</cp:lastModifiedBy>
  <dcterms:created xsi:type="dcterms:W3CDTF">2015-06-05T18:19:34Z</dcterms:created>
  <dcterms:modified xsi:type="dcterms:W3CDTF">2026-03-22T05:32:15Z</dcterms:modified>
</cp:coreProperties>
</file>